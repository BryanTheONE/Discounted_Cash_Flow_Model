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ryan\DB\Other\ipybn\excel_analysis\3_statment_model_analysis\"/>
    </mc:Choice>
  </mc:AlternateContent>
  <xr:revisionPtr revIDLastSave="0" documentId="13_ncr:1_{4BCDF6FE-7023-49BC-B8AD-557C086333F7}" xr6:coauthVersionLast="47" xr6:coauthVersionMax="47" xr10:uidLastSave="{00000000-0000-0000-0000-000000000000}"/>
  <bookViews>
    <workbookView xWindow="-110" yWindow="-110" windowWidth="22620" windowHeight="13500" xr2:uid="{4E2CF9AA-B909-4BD1-B850-D70B0547836F}"/>
  </bookViews>
  <sheets>
    <sheet name="Info_schedule" sheetId="5" r:id="rId1"/>
    <sheet name="3_Statements_Model" sheetId="1" r:id="rId2"/>
    <sheet name="DCF_Model" sheetId="4" r:id="rId3"/>
    <sheet name="Assumptions" sheetId="2" r:id="rId4"/>
    <sheet name="Raw_data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5" i="1" l="1"/>
  <c r="K35" i="1"/>
  <c r="J35" i="1"/>
  <c r="I35" i="1"/>
  <c r="H35" i="1"/>
  <c r="Q7" i="4"/>
  <c r="R5" i="4"/>
  <c r="S5" i="4" s="1"/>
  <c r="T5" i="4" s="1"/>
  <c r="U5" i="4" s="1"/>
  <c r="V5" i="4" s="1"/>
  <c r="D25" i="4"/>
  <c r="D24" i="4"/>
  <c r="D26" i="4" s="1"/>
  <c r="H19" i="4" s="1"/>
  <c r="D3" i="4"/>
  <c r="E3" i="4" s="1"/>
  <c r="C7" i="4"/>
  <c r="C9" i="4"/>
  <c r="C34" i="4"/>
  <c r="E36" i="4"/>
  <c r="C36" i="4"/>
  <c r="D9" i="4"/>
  <c r="L74" i="1"/>
  <c r="L76" i="1" s="1"/>
  <c r="Z39" i="1" s="1"/>
  <c r="K74" i="1"/>
  <c r="K76" i="1" s="1"/>
  <c r="Y39" i="1" s="1"/>
  <c r="J74" i="1"/>
  <c r="J76" i="1" s="1"/>
  <c r="X39" i="1" s="1"/>
  <c r="I74" i="1"/>
  <c r="I76" i="1" s="1"/>
  <c r="W39" i="1" s="1"/>
  <c r="D7" i="4"/>
  <c r="L10" i="1"/>
  <c r="K10" i="1"/>
  <c r="J10" i="1"/>
  <c r="I10" i="1"/>
  <c r="S36" i="1"/>
  <c r="T36" i="1" s="1"/>
  <c r="U36" i="1" s="1"/>
  <c r="V36" i="1" s="1"/>
  <c r="W36" i="1" s="1"/>
  <c r="X36" i="1" s="1"/>
  <c r="Y36" i="1" s="1"/>
  <c r="Z36" i="1" s="1"/>
  <c r="R9" i="1"/>
  <c r="S9" i="1" s="1"/>
  <c r="T9" i="1" s="1"/>
  <c r="U9" i="1" s="1"/>
  <c r="V9" i="1" s="1"/>
  <c r="W9" i="1" s="1"/>
  <c r="X9" i="1" s="1"/>
  <c r="Y9" i="1" s="1"/>
  <c r="Z9" i="1" s="1"/>
  <c r="H74" i="1"/>
  <c r="H76" i="1" s="1"/>
  <c r="V39" i="1" s="1"/>
  <c r="H80" i="1"/>
  <c r="G80" i="1"/>
  <c r="F80" i="1"/>
  <c r="E80" i="1"/>
  <c r="D80" i="1"/>
  <c r="G71" i="1"/>
  <c r="U38" i="1" s="1"/>
  <c r="F71" i="1"/>
  <c r="T38" i="1" s="1"/>
  <c r="E71" i="1"/>
  <c r="S38" i="1" s="1"/>
  <c r="G76" i="1"/>
  <c r="U39" i="1" s="1"/>
  <c r="F76" i="1"/>
  <c r="T39" i="1" s="1"/>
  <c r="E76" i="1"/>
  <c r="S39" i="1" s="1"/>
  <c r="D76" i="1"/>
  <c r="R39" i="1" s="1"/>
  <c r="D71" i="1"/>
  <c r="R38" i="1" s="1"/>
  <c r="G92" i="1"/>
  <c r="F92" i="1"/>
  <c r="E92" i="1"/>
  <c r="D92" i="1"/>
  <c r="C92" i="1"/>
  <c r="C91" i="1"/>
  <c r="G86" i="1"/>
  <c r="F86" i="1"/>
  <c r="E86" i="1"/>
  <c r="D86" i="1"/>
  <c r="G85" i="1"/>
  <c r="F85" i="1"/>
  <c r="E85" i="1"/>
  <c r="D85" i="1"/>
  <c r="G84" i="1"/>
  <c r="F84" i="1"/>
  <c r="E84" i="1"/>
  <c r="D84" i="1"/>
  <c r="C86" i="1"/>
  <c r="C85" i="1"/>
  <c r="C84" i="1"/>
  <c r="H51" i="1"/>
  <c r="I51" i="1" s="1"/>
  <c r="H28" i="1"/>
  <c r="H54" i="1"/>
  <c r="I54" i="1" s="1"/>
  <c r="D47" i="1"/>
  <c r="G52" i="1"/>
  <c r="F52" i="1"/>
  <c r="E52" i="1"/>
  <c r="D52" i="1"/>
  <c r="C56" i="1"/>
  <c r="C52" i="1"/>
  <c r="C47" i="1"/>
  <c r="G30" i="1"/>
  <c r="U11" i="1" s="1"/>
  <c r="F30" i="1"/>
  <c r="T11" i="1" s="1"/>
  <c r="E30" i="1"/>
  <c r="S11" i="1" s="1"/>
  <c r="D30" i="1"/>
  <c r="R11" i="1" s="1"/>
  <c r="C30" i="1"/>
  <c r="Q11" i="1" s="1"/>
  <c r="I9" i="1"/>
  <c r="H5" i="1"/>
  <c r="I5" i="1" s="1"/>
  <c r="J5" i="1" s="1"/>
  <c r="K5" i="1" s="1"/>
  <c r="L5" i="1" s="1"/>
  <c r="I28" i="1" l="1"/>
  <c r="F3" i="4"/>
  <c r="D91" i="1"/>
  <c r="D93" i="1" s="1"/>
  <c r="J54" i="1"/>
  <c r="J51" i="1"/>
  <c r="I31" i="1"/>
  <c r="I29" i="1"/>
  <c r="G32" i="1"/>
  <c r="G34" i="1" s="1"/>
  <c r="F32" i="1"/>
  <c r="F34" i="1" s="1"/>
  <c r="E32" i="1"/>
  <c r="E34" i="1" s="1"/>
  <c r="E36" i="1" s="1"/>
  <c r="E38" i="1" s="1"/>
  <c r="D32" i="1"/>
  <c r="D34" i="1" s="1"/>
  <c r="D36" i="1" s="1"/>
  <c r="D38" i="1" s="1"/>
  <c r="C32" i="1"/>
  <c r="C34" i="1" s="1"/>
  <c r="C36" i="1" s="1"/>
  <c r="C38" i="1" s="1"/>
  <c r="H44" i="1"/>
  <c r="H84" i="1" s="1"/>
  <c r="V10" i="1"/>
  <c r="D55" i="1"/>
  <c r="G87" i="1"/>
  <c r="G66" i="1" s="1"/>
  <c r="F87" i="1"/>
  <c r="F66" i="1" s="1"/>
  <c r="C8" i="4" s="1"/>
  <c r="E87" i="1"/>
  <c r="D87" i="1"/>
  <c r="D66" i="1" s="1"/>
  <c r="D67" i="1" s="1"/>
  <c r="C58" i="1"/>
  <c r="C59" i="1" s="1"/>
  <c r="H31" i="1"/>
  <c r="H29" i="1"/>
  <c r="J9" i="1"/>
  <c r="I44" i="1" l="1"/>
  <c r="I84" i="1" s="1"/>
  <c r="W10" i="1"/>
  <c r="G36" i="1"/>
  <c r="G38" i="1" s="1"/>
  <c r="D4" i="4"/>
  <c r="D6" i="4" s="1"/>
  <c r="F36" i="1"/>
  <c r="F38" i="1" s="1"/>
  <c r="C4" i="4"/>
  <c r="C6" i="4" s="1"/>
  <c r="C10" i="4" s="1"/>
  <c r="E55" i="1"/>
  <c r="D56" i="1"/>
  <c r="D58" i="1" s="1"/>
  <c r="D59" i="1" s="1"/>
  <c r="G67" i="1"/>
  <c r="U37" i="1" s="1"/>
  <c r="D8" i="4"/>
  <c r="K9" i="1"/>
  <c r="L9" i="1" s="1"/>
  <c r="J28" i="1"/>
  <c r="I30" i="1"/>
  <c r="I32" i="1" s="1"/>
  <c r="I50" i="1"/>
  <c r="I52" i="1" s="1"/>
  <c r="I45" i="1"/>
  <c r="G3" i="4"/>
  <c r="E47" i="1"/>
  <c r="E91" i="1"/>
  <c r="E93" i="1" s="1"/>
  <c r="K54" i="1"/>
  <c r="K51" i="1"/>
  <c r="G78" i="1"/>
  <c r="G81" i="1" s="1"/>
  <c r="D78" i="1"/>
  <c r="D81" i="1" s="1"/>
  <c r="R37" i="1"/>
  <c r="E66" i="1"/>
  <c r="E67" i="1" s="1"/>
  <c r="F67" i="1"/>
  <c r="H45" i="1"/>
  <c r="H50" i="1"/>
  <c r="H30" i="1"/>
  <c r="V11" i="1" s="1"/>
  <c r="E56" i="1" l="1"/>
  <c r="E58" i="1" s="1"/>
  <c r="E59" i="1" s="1"/>
  <c r="F55" i="1"/>
  <c r="J44" i="1"/>
  <c r="J84" i="1" s="1"/>
  <c r="K28" i="1"/>
  <c r="J29" i="1"/>
  <c r="J45" i="1" s="1"/>
  <c r="J31" i="1"/>
  <c r="H3" i="4"/>
  <c r="F91" i="1"/>
  <c r="F93" i="1" s="1"/>
  <c r="F47" i="1"/>
  <c r="L54" i="1"/>
  <c r="L51" i="1"/>
  <c r="E78" i="1"/>
  <c r="E81" i="1" s="1"/>
  <c r="S37" i="1"/>
  <c r="F78" i="1"/>
  <c r="F81" i="1" s="1"/>
  <c r="T37" i="1"/>
  <c r="H32" i="1"/>
  <c r="X10" i="1"/>
  <c r="H85" i="1"/>
  <c r="H52" i="1"/>
  <c r="H86" i="1"/>
  <c r="W11" i="1"/>
  <c r="J30" i="1" l="1"/>
  <c r="J50" i="1"/>
  <c r="J52" i="1" s="1"/>
  <c r="F56" i="1"/>
  <c r="F58" i="1" s="1"/>
  <c r="F59" i="1" s="1"/>
  <c r="G55" i="1"/>
  <c r="G56" i="1" s="1"/>
  <c r="K44" i="1"/>
  <c r="K84" i="1" s="1"/>
  <c r="L28" i="1"/>
  <c r="L29" i="1" s="1"/>
  <c r="K29" i="1"/>
  <c r="K30" i="1"/>
  <c r="K31" i="1"/>
  <c r="J32" i="1"/>
  <c r="X11" i="1"/>
  <c r="K50" i="1"/>
  <c r="K52" i="1" s="1"/>
  <c r="K45" i="1"/>
  <c r="I3" i="4"/>
  <c r="G47" i="1"/>
  <c r="G91" i="1"/>
  <c r="G93" i="1" s="1"/>
  <c r="Y10" i="1"/>
  <c r="H87" i="1"/>
  <c r="H66" i="1" s="1"/>
  <c r="E8" i="4" s="1"/>
  <c r="I86" i="1"/>
  <c r="I85" i="1"/>
  <c r="K32" i="1" l="1"/>
  <c r="L44" i="1"/>
  <c r="L84" i="1" s="1"/>
  <c r="L30" i="1"/>
  <c r="L31" i="1"/>
  <c r="C33" i="4"/>
  <c r="K25" i="4"/>
  <c r="G58" i="1"/>
  <c r="G59" i="1" s="1"/>
  <c r="L45" i="1"/>
  <c r="L50" i="1"/>
  <c r="L52" i="1" s="1"/>
  <c r="L32" i="1"/>
  <c r="Y11" i="1"/>
  <c r="Z10" i="1"/>
  <c r="I87" i="1"/>
  <c r="I66" i="1" s="1"/>
  <c r="J86" i="1"/>
  <c r="J85" i="1"/>
  <c r="K86" i="1"/>
  <c r="K85" i="1"/>
  <c r="C35" i="4" l="1"/>
  <c r="F8" i="4"/>
  <c r="L85" i="1"/>
  <c r="K87" i="1"/>
  <c r="K66" i="1" s="1"/>
  <c r="J87" i="1"/>
  <c r="J66" i="1" s="1"/>
  <c r="D34" i="4" l="1"/>
  <c r="D33" i="4"/>
  <c r="H8" i="4"/>
  <c r="G8" i="4"/>
  <c r="Z11" i="1"/>
  <c r="L86" i="1"/>
  <c r="L87" i="1" s="1"/>
  <c r="L66" i="1" s="1"/>
  <c r="D35" i="4" l="1"/>
  <c r="C32" i="4"/>
  <c r="I8" i="4"/>
  <c r="H70" i="1" l="1"/>
  <c r="H33" i="1" s="1"/>
  <c r="L70" i="1"/>
  <c r="L71" i="1" s="1"/>
  <c r="Z38" i="1" s="1"/>
  <c r="K70" i="1"/>
  <c r="K33" i="1" s="1"/>
  <c r="H7" i="4" s="1"/>
  <c r="J70" i="1"/>
  <c r="G9" i="4" s="1"/>
  <c r="J71" i="1"/>
  <c r="I70" i="1"/>
  <c r="F9" i="4" s="1"/>
  <c r="I71" i="1"/>
  <c r="W38" i="1" s="1"/>
  <c r="J33" i="1"/>
  <c r="G7" i="4" s="1"/>
  <c r="J65" i="1"/>
  <c r="I33" i="1"/>
  <c r="I65" i="1"/>
  <c r="D10" i="4"/>
  <c r="D11" i="4" s="1"/>
  <c r="I34" i="1"/>
  <c r="X38" i="1"/>
  <c r="I92" i="1" l="1"/>
  <c r="F7" i="4"/>
  <c r="H9" i="4"/>
  <c r="K71" i="1"/>
  <c r="Y38" i="1" s="1"/>
  <c r="E9" i="4"/>
  <c r="H71" i="1"/>
  <c r="V38" i="1" s="1"/>
  <c r="I9" i="4"/>
  <c r="L33" i="1"/>
  <c r="J34" i="1"/>
  <c r="J92" i="1"/>
  <c r="H46" i="1"/>
  <c r="E7" i="4"/>
  <c r="H65" i="1"/>
  <c r="H92" i="1"/>
  <c r="H34" i="1"/>
  <c r="F4" i="4"/>
  <c r="F6" i="4" s="1"/>
  <c r="F10" i="4" s="1"/>
  <c r="F11" i="4" s="1"/>
  <c r="I36" i="1"/>
  <c r="I37" i="1" s="1"/>
  <c r="I38" i="1" s="1"/>
  <c r="I64" i="1" s="1"/>
  <c r="I67" i="1" s="1"/>
  <c r="K34" i="1"/>
  <c r="K92" i="1"/>
  <c r="K65" i="1"/>
  <c r="D14" i="4"/>
  <c r="Q6" i="4"/>
  <c r="H36" i="1" l="1"/>
  <c r="H37" i="1" s="1"/>
  <c r="H38" i="1" s="1"/>
  <c r="E4" i="4"/>
  <c r="E6" i="4" s="1"/>
  <c r="E10" i="4"/>
  <c r="E11" i="4" s="1"/>
  <c r="L92" i="1"/>
  <c r="L34" i="1"/>
  <c r="G4" i="4"/>
  <c r="G6" i="4" s="1"/>
  <c r="G10" i="4" s="1"/>
  <c r="G11" i="4" s="1"/>
  <c r="J36" i="1"/>
  <c r="J37" i="1" s="1"/>
  <c r="J38" i="1" s="1"/>
  <c r="J64" i="1" s="1"/>
  <c r="J67" i="1" s="1"/>
  <c r="I46" i="1"/>
  <c r="H91" i="1"/>
  <c r="H93" i="1" s="1"/>
  <c r="I7" i="4"/>
  <c r="L65" i="1"/>
  <c r="H4" i="4"/>
  <c r="H6" i="4" s="1"/>
  <c r="H10" i="4" s="1"/>
  <c r="H11" i="4" s="1"/>
  <c r="K36" i="1"/>
  <c r="F14" i="4"/>
  <c r="S6" i="4"/>
  <c r="W37" i="1"/>
  <c r="I78" i="1"/>
  <c r="J46" i="1" l="1"/>
  <c r="K46" i="1" s="1"/>
  <c r="L46" i="1" s="1"/>
  <c r="I91" i="1"/>
  <c r="I93" i="1" s="1"/>
  <c r="E14" i="4"/>
  <c r="R6" i="4"/>
  <c r="I4" i="4"/>
  <c r="I6" i="4" s="1"/>
  <c r="I10" i="4" s="1"/>
  <c r="L36" i="1"/>
  <c r="L37" i="1" s="1"/>
  <c r="L38" i="1" s="1"/>
  <c r="L64" i="1" s="1"/>
  <c r="L67" i="1" s="1"/>
  <c r="G14" i="4"/>
  <c r="T6" i="4"/>
  <c r="U6" i="4"/>
  <c r="H14" i="4"/>
  <c r="K37" i="1"/>
  <c r="K38" i="1" s="1"/>
  <c r="K64" i="1" s="1"/>
  <c r="K67" i="1" s="1"/>
  <c r="J78" i="1"/>
  <c r="X37" i="1"/>
  <c r="H64" i="1"/>
  <c r="H67" i="1" s="1"/>
  <c r="H55" i="1"/>
  <c r="J91" i="1"/>
  <c r="J93" i="1" l="1"/>
  <c r="L78" i="1"/>
  <c r="Z37" i="1"/>
  <c r="I11" i="4"/>
  <c r="V6" i="4" s="1"/>
  <c r="I15" i="4"/>
  <c r="D19" i="4" s="1"/>
  <c r="I14" i="4"/>
  <c r="D18" i="4" s="1"/>
  <c r="D20" i="4" s="1"/>
  <c r="H18" i="4" s="1"/>
  <c r="H20" i="4" s="1"/>
  <c r="H24" i="4" s="1"/>
  <c r="H26" i="4" s="1"/>
  <c r="K24" i="4" s="1"/>
  <c r="K23" i="4" s="1"/>
  <c r="K78" i="1"/>
  <c r="Y37" i="1"/>
  <c r="V37" i="1"/>
  <c r="H78" i="1"/>
  <c r="H81" i="1" s="1"/>
  <c r="H43" i="1" s="1"/>
  <c r="I55" i="1"/>
  <c r="H56" i="1"/>
  <c r="H58" i="1" s="1"/>
  <c r="K91" i="1"/>
  <c r="K93" i="1" s="1"/>
  <c r="H47" i="1" l="1"/>
  <c r="H59" i="1" s="1"/>
  <c r="R7" i="4"/>
  <c r="I80" i="1"/>
  <c r="I81" i="1" s="1"/>
  <c r="I43" i="1" s="1"/>
  <c r="I56" i="1"/>
  <c r="I58" i="1" s="1"/>
  <c r="J55" i="1"/>
  <c r="L91" i="1"/>
  <c r="L93" i="1" s="1"/>
  <c r="I47" i="1" l="1"/>
  <c r="I59" i="1" s="1"/>
  <c r="J80" i="1"/>
  <c r="J81" i="1" s="1"/>
  <c r="J43" i="1" s="1"/>
  <c r="S7" i="4"/>
  <c r="K55" i="1"/>
  <c r="J56" i="1"/>
  <c r="J58" i="1" s="1"/>
  <c r="J47" i="1" l="1"/>
  <c r="J59" i="1" s="1"/>
  <c r="K80" i="1"/>
  <c r="K81" i="1" s="1"/>
  <c r="K43" i="1" s="1"/>
  <c r="T7" i="4"/>
  <c r="K56" i="1"/>
  <c r="K58" i="1" s="1"/>
  <c r="L55" i="1"/>
  <c r="L56" i="1" s="1"/>
  <c r="L58" i="1" s="1"/>
  <c r="K47" i="1" l="1"/>
  <c r="K59" i="1" s="1"/>
  <c r="L80" i="1"/>
  <c r="L81" i="1" s="1"/>
  <c r="L43" i="1" s="1"/>
  <c r="U7" i="4"/>
  <c r="V7" i="4" l="1"/>
  <c r="L47" i="1"/>
  <c r="L5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Bryan Lattuada</author>
  </authors>
  <commentList>
    <comment ref="H10" authorId="0" shapeId="0" xr:uid="{4CB61CF3-4D22-4002-A8EC-933DB5C7EB37}">
      <text>
        <r>
          <rPr>
            <b/>
            <sz val="9"/>
            <color indexed="81"/>
            <rFont val="Tahoma"/>
            <family val="2"/>
          </rPr>
          <t xml:space="preserve">%dei profitti
</t>
        </r>
      </text>
    </comment>
    <comment ref="H11" authorId="0" shapeId="0" xr:uid="{1CEBBD05-1ED1-4C04-8F37-07A7642A3A7C}">
      <text>
        <r>
          <rPr>
            <b/>
            <sz val="9"/>
            <color indexed="81"/>
            <rFont val="Tahoma"/>
            <family val="2"/>
          </rPr>
          <t xml:space="preserve">% dei profitti
</t>
        </r>
      </text>
    </comment>
    <comment ref="H12" authorId="0" shapeId="0" xr:uid="{6542E4FA-FBE7-4C2E-AD0F-C1CA8CE62458}">
      <text>
        <r>
          <rPr>
            <b/>
            <sz val="9"/>
            <color indexed="81"/>
            <rFont val="Tahoma"/>
            <family val="2"/>
          </rPr>
          <t>% del CapEx</t>
        </r>
      </text>
    </comment>
    <comment ref="H19" authorId="0" shapeId="0" xr:uid="{3B693587-F1EB-433C-A0D3-C2628940E993}">
      <text>
        <r>
          <rPr>
            <b/>
            <sz val="9"/>
            <color indexed="81"/>
            <rFont val="Tahoma"/>
            <family val="2"/>
          </rPr>
          <t xml:space="preserve">12 mln annui per supportare la crescita
</t>
        </r>
      </text>
    </comment>
    <comment ref="H20" authorId="0" shapeId="0" xr:uid="{C1C5ED63-C437-49AA-BDB0-ED1C4874D7B3}">
      <text>
        <r>
          <rPr>
            <b/>
            <sz val="9"/>
            <color indexed="81"/>
            <rFont val="Tahoma"/>
            <family val="2"/>
          </rPr>
          <t xml:space="preserve">pagamento sul debito esistente
</t>
        </r>
      </text>
    </comment>
    <comment ref="H21" authorId="0" shapeId="0" xr:uid="{F8103F35-ABDE-4A87-960E-30D7781F4F00}">
      <text>
        <r>
          <rPr>
            <b/>
            <sz val="9"/>
            <color indexed="81"/>
            <rFont val="Tahoma"/>
            <family val="2"/>
          </rPr>
          <t>% sul debito as ogni anno x+1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Bryan Lattuada</author>
  </authors>
  <commentList>
    <comment ref="F25" authorId="0" shapeId="0" xr:uid="{19C19D6E-8393-434A-B64E-AD975F7680A2}">
      <text>
        <r>
          <rPr>
            <b/>
            <sz val="9"/>
            <color indexed="81"/>
            <rFont val="Tahoma"/>
            <family val="2"/>
          </rPr>
          <t>diluted shares outstanding, ipotezziamo 800 azioni (*12,5 e/share = 10k)</t>
        </r>
      </text>
    </comment>
  </commentList>
</comments>
</file>

<file path=xl/sharedStrings.xml><?xml version="1.0" encoding="utf-8"?>
<sst xmlns="http://schemas.openxmlformats.org/spreadsheetml/2006/main" count="470" uniqueCount="270">
  <si>
    <t>Voce (€ milioni)</t>
  </si>
  <si>
    <t>Ricavi (Revenues)</t>
  </si>
  <si>
    <t>Costo del Venduto (COGS)</t>
  </si>
  <si>
    <t>Utile Lordo (Gross Profit)</t>
  </si>
  <si>
    <t>Spese Operative (SG&amp;A)</t>
  </si>
  <si>
    <t>EBITDA</t>
  </si>
  <si>
    <t>Ammortamenti (D&amp;A)</t>
  </si>
  <si>
    <t>EBIT (Operating Income)</t>
  </si>
  <si>
    <t>Interessi Passivi</t>
  </si>
  <si>
    <t>Utile Ante Imposte (EBT)</t>
  </si>
  <si>
    <t>Utile Netto (Net Income)</t>
  </si>
  <si>
    <t>ATTIVO</t>
  </si>
  <si>
    <t>Cassa e Equivalenti</t>
  </si>
  <si>
    <t>Crediti Commerciali (AR)</t>
  </si>
  <si>
    <t>Magazzino (Inventory)</t>
  </si>
  <si>
    <t>Immobilizzazioni Nette (PP&amp;E)</t>
  </si>
  <si>
    <t>TOTALE ATTIVO</t>
  </si>
  <si>
    <t>PASSIVO E PATRIMONIO</t>
  </si>
  <si>
    <t>Debiti Commerciali (AP)</t>
  </si>
  <si>
    <t>Debito Finanziario (Senior Debt)</t>
  </si>
  <si>
    <t>Totale Passività</t>
  </si>
  <si>
    <t>Capitale Sociale</t>
  </si>
  <si>
    <t>Riserve / Utili Portati a Nuovo</t>
  </si>
  <si>
    <t>Totale Patrimonio Netto</t>
  </si>
  <si>
    <t>TOTALE PASSIVO E PATRIMONIO</t>
  </si>
  <si>
    <t>x</t>
  </si>
  <si>
    <t>Utile Netto</t>
  </si>
  <si>
    <t>(+) Ammortamenti (D&amp;A)</t>
  </si>
  <si>
    <t>(-/+) Variazione Magazzino</t>
  </si>
  <si>
    <t>Spese in conto capitale (CapEx)</t>
  </si>
  <si>
    <t>Rimborso Debito</t>
  </si>
  <si>
    <t>Variazione Netta di Cassa</t>
  </si>
  <si>
    <t>Cassa Iniziale</t>
  </si>
  <si>
    <t>Cassa Finale</t>
  </si>
  <si>
    <t>Conto Economico</t>
  </si>
  <si>
    <t>Income statement</t>
  </si>
  <si>
    <t>Histotical data</t>
  </si>
  <si>
    <t>Forecast Periods</t>
  </si>
  <si>
    <r>
      <t>Revenue Growth Rate:</t>
    </r>
    <r>
      <rPr>
        <sz val="11"/>
        <color theme="1"/>
        <rFont val="Calibri"/>
        <family val="2"/>
        <scheme val="minor"/>
      </rPr>
      <t xml:space="preserve"> 10% nel 2026, per poi decrescere linearmente di 1 punto percentuale all'anno (9% nel 2027, 8% nel 2028, 7% nel 2029, 6% nel 2030).</t>
    </r>
  </si>
  <si>
    <r>
      <t>COGS (% of Revenues):</t>
    </r>
    <r>
      <rPr>
        <sz val="11"/>
        <color theme="1"/>
        <rFont val="Calibri"/>
        <family val="2"/>
        <scheme val="minor"/>
      </rPr>
      <t xml:space="preserve"> Rimane stabile al 26,0% dei ricavi per tutti i 5 anni.</t>
    </r>
  </si>
  <si>
    <r>
      <t>SG&amp;A (% of Revenues):</t>
    </r>
    <r>
      <rPr>
        <sz val="11"/>
        <color theme="1"/>
        <rFont val="Calibri"/>
        <family val="2"/>
        <scheme val="minor"/>
      </rPr>
      <t xml:space="preserve"> Efficienza operativa in miglioramento. Impostalo al 35,0% nel 2026, 34,5% nel 2027, e fisso al 34,0% dal 2028 al 2030.</t>
    </r>
  </si>
  <si>
    <r>
      <t>D&amp;A (% of Capital Expenditures):</t>
    </r>
    <r>
      <rPr>
        <sz val="11"/>
        <color theme="1"/>
        <rFont val="Calibri"/>
        <family val="2"/>
        <scheme val="minor"/>
      </rPr>
      <t xml:space="preserve"> Storicamente gli ammortamenti seguono il CapEx. Imposta la D&amp;A pari all'</t>
    </r>
    <r>
      <rPr>
        <b/>
        <sz val="11"/>
        <color theme="1"/>
        <rFont val="Calibri"/>
        <family val="2"/>
        <scheme val="minor"/>
      </rPr>
      <t>85% del CapEx</t>
    </r>
    <r>
      <rPr>
        <sz val="11"/>
        <color theme="1"/>
        <rFont val="Calibri"/>
        <family val="2"/>
        <scheme val="minor"/>
      </rPr>
      <t xml:space="preserve"> di ciascun anno corrente.</t>
    </r>
  </si>
  <si>
    <r>
      <t>Tax Rate:</t>
    </r>
    <r>
      <rPr>
        <sz val="11"/>
        <color theme="1"/>
        <rFont val="Calibri"/>
        <family val="2"/>
        <scheme val="minor"/>
      </rPr>
      <t xml:space="preserve"> Costante al </t>
    </r>
    <r>
      <rPr>
        <b/>
        <sz val="11"/>
        <color theme="1"/>
        <rFont val="Calibri"/>
        <family val="2"/>
        <scheme val="minor"/>
      </rPr>
      <t>25%</t>
    </r>
    <r>
      <rPr>
        <sz val="11"/>
        <color theme="1"/>
        <rFont val="Calibri"/>
        <family val="2"/>
        <scheme val="minor"/>
      </rPr>
      <t xml:space="preserve"> sull'EBT.</t>
    </r>
  </si>
  <si>
    <t>Capitale Circolante Netto (Working Capital Drivers)</t>
  </si>
  <si>
    <t>Stato Patrimoniale e Flussi Finanziari (CapEx &amp; Debito)</t>
  </si>
  <si>
    <r>
      <t>Capital Expenditures (CapEx):</t>
    </r>
    <r>
      <rPr>
        <sz val="11"/>
        <color theme="1"/>
        <rFont val="Calibri"/>
        <family val="2"/>
        <scheme val="minor"/>
      </rPr>
      <t xml:space="preserve"> L'azienda deve supportare la crescita. Imposta il CapEx fisso a </t>
    </r>
    <r>
      <rPr>
        <b/>
        <sz val="11"/>
        <color theme="1"/>
        <rFont val="Calibri"/>
        <family val="2"/>
        <scheme val="minor"/>
      </rPr>
      <t>12,0 milioni di € all'anno</t>
    </r>
    <r>
      <rPr>
        <sz val="11"/>
        <color theme="1"/>
        <rFont val="Calibri"/>
        <family val="2"/>
        <scheme val="minor"/>
      </rPr>
      <t xml:space="preserve"> dal 2026 al 2030.</t>
    </r>
  </si>
  <si>
    <r>
      <t>Rimborso Debito (Debt Paydown):</t>
    </r>
    <r>
      <rPr>
        <sz val="11"/>
        <color theme="1"/>
        <rFont val="Calibri"/>
        <family val="2"/>
        <scheme val="minor"/>
      </rPr>
      <t xml:space="preserve"> L'azienda continua a rimborsare </t>
    </r>
    <r>
      <rPr>
        <b/>
        <sz val="11"/>
        <color theme="1"/>
        <rFont val="Calibri"/>
        <family val="2"/>
        <scheme val="minor"/>
      </rPr>
      <t>5,0 milioni di € all'anno</t>
    </r>
    <r>
      <rPr>
        <sz val="11"/>
        <color theme="1"/>
        <rFont val="Calibri"/>
        <family val="2"/>
        <scheme val="minor"/>
      </rPr>
      <t xml:space="preserve"> di debito esistente fino all'azzeramento dello stesso.</t>
    </r>
  </si>
  <si>
    <r>
      <t>Tasso di Interesse sul Debito:</t>
    </r>
    <r>
      <rPr>
        <sz val="11"/>
        <color theme="1"/>
        <rFont val="Calibri"/>
        <family val="2"/>
        <scheme val="minor"/>
      </rPr>
      <t xml:space="preserve"> Fissato al </t>
    </r>
    <r>
      <rPr>
        <b/>
        <sz val="11"/>
        <color theme="1"/>
        <rFont val="Calibri"/>
        <family val="2"/>
        <scheme val="minor"/>
      </rPr>
      <t>6,0%</t>
    </r>
    <r>
      <rPr>
        <sz val="11"/>
        <color theme="1"/>
        <rFont val="Calibri"/>
        <family val="2"/>
        <scheme val="minor"/>
      </rPr>
      <t xml:space="preserve"> calcolato sul </t>
    </r>
    <r>
      <rPr>
        <i/>
        <sz val="11"/>
        <color theme="1"/>
        <rFont val="Calibri"/>
        <family val="2"/>
        <scheme val="minor"/>
      </rPr>
      <t>Debito Iniziale (Beginning Debt)</t>
    </r>
    <r>
      <rPr>
        <sz val="11"/>
        <color theme="1"/>
        <rFont val="Calibri"/>
        <family val="2"/>
        <scheme val="minor"/>
      </rPr>
      <t xml:space="preserve"> di ciascun anno.</t>
    </r>
  </si>
  <si>
    <t>Cash Flow</t>
  </si>
  <si>
    <t>Balance Sheet Statement</t>
  </si>
  <si>
    <t>Assumptions</t>
  </si>
  <si>
    <t>Ricavi</t>
  </si>
  <si>
    <t>-</t>
  </si>
  <si>
    <t>COGS</t>
  </si>
  <si>
    <t>SG&amp;A</t>
  </si>
  <si>
    <t>D&amp;A</t>
  </si>
  <si>
    <t>Tax Rate</t>
  </si>
  <si>
    <t>Days Sales Outstanding (DSO)</t>
  </si>
  <si>
    <t>Days Inventory Outstanding (DIO)</t>
  </si>
  <si>
    <t>Days Payable Outstanding (DPO)</t>
  </si>
  <si>
    <t>CapEX</t>
  </si>
  <si>
    <t>Tasso interesse</t>
  </si>
  <si>
    <t>Interessi su cassa</t>
  </si>
  <si>
    <t>Dividendi</t>
  </si>
  <si>
    <t>Aumenti di capitale</t>
  </si>
  <si>
    <t>Check</t>
  </si>
  <si>
    <t>CCN</t>
  </si>
  <si>
    <t>(+/-) CCN</t>
  </si>
  <si>
    <t>(-/+) Crediti Commerciali</t>
  </si>
  <si>
    <t>(-/+) Magazzino</t>
  </si>
  <si>
    <t>(+/-) Debiti Commerciali</t>
  </si>
  <si>
    <t>ΔCCN</t>
  </si>
  <si>
    <t>CapEx</t>
  </si>
  <si>
    <t>fixed CapEx</t>
  </si>
  <si>
    <t>CHECK (Attivo - Passivo - PN)</t>
  </si>
  <si>
    <t>100,00</t>
  </si>
  <si>
    <t>115,00</t>
  </si>
  <si>
    <t>130,00</t>
  </si>
  <si>
    <t>145,00</t>
  </si>
  <si>
    <t>160,00</t>
  </si>
  <si>
    <t>-30,00</t>
  </si>
  <si>
    <t>-33,40</t>
  </si>
  <si>
    <t>-36,40</t>
  </si>
  <si>
    <t>-39,20</t>
  </si>
  <si>
    <t>-41,60</t>
  </si>
  <si>
    <t>70,00</t>
  </si>
  <si>
    <t>81,60</t>
  </si>
  <si>
    <t>93,60</t>
  </si>
  <si>
    <t>105,80</t>
  </si>
  <si>
    <t>118,40</t>
  </si>
  <si>
    <t>-40,00</t>
  </si>
  <si>
    <t>-45,00</t>
  </si>
  <si>
    <t>-50,00</t>
  </si>
  <si>
    <t>-54,00</t>
  </si>
  <si>
    <t>-58,00</t>
  </si>
  <si>
    <t>30,00</t>
  </si>
  <si>
    <t>36,60</t>
  </si>
  <si>
    <t>43,60</t>
  </si>
  <si>
    <t>51,80</t>
  </si>
  <si>
    <t>60,40</t>
  </si>
  <si>
    <t>-5,00</t>
  </si>
  <si>
    <t>-6,00</t>
  </si>
  <si>
    <t>-7,00</t>
  </si>
  <si>
    <t>-8,00</t>
  </si>
  <si>
    <t>-9,00</t>
  </si>
  <si>
    <t>25,00</t>
  </si>
  <si>
    <t>30,60</t>
  </si>
  <si>
    <t>43,80</t>
  </si>
  <si>
    <t>51,40</t>
  </si>
  <si>
    <t>-2,00</t>
  </si>
  <si>
    <t>-1,80</t>
  </si>
  <si>
    <t>-1,50</t>
  </si>
  <si>
    <t>-1,20</t>
  </si>
  <si>
    <t>23,00</t>
  </si>
  <si>
    <t>28,60</t>
  </si>
  <si>
    <t>34,80</t>
  </si>
  <si>
    <t>42,30</t>
  </si>
  <si>
    <t>50,20</t>
  </si>
  <si>
    <t>Imposte</t>
  </si>
  <si>
    <t>-5,75</t>
  </si>
  <si>
    <t>-7,15</t>
  </si>
  <si>
    <t>-8,70</t>
  </si>
  <si>
    <t>-10,58</t>
  </si>
  <si>
    <t>-12,55</t>
  </si>
  <si>
    <t>17,25</t>
  </si>
  <si>
    <t>21,45</t>
  </si>
  <si>
    <t>26,10</t>
  </si>
  <si>
    <t>31,72</t>
  </si>
  <si>
    <t>37,65</t>
  </si>
  <si>
    <t>15,00</t>
  </si>
  <si>
    <t>26,05</t>
  </si>
  <si>
    <t>42,75</t>
  </si>
  <si>
    <t>66,07</t>
  </si>
  <si>
    <t>96,32</t>
  </si>
  <si>
    <t>10,00</t>
  </si>
  <si>
    <t>11,50</t>
  </si>
  <si>
    <t>13,00</t>
  </si>
  <si>
    <t>14,50</t>
  </si>
  <si>
    <t>16,00</t>
  </si>
  <si>
    <t>5,00</t>
  </si>
  <si>
    <t>5,60</t>
  </si>
  <si>
    <t>6,10</t>
  </si>
  <si>
    <t>6,50</t>
  </si>
  <si>
    <t>6,90</t>
  </si>
  <si>
    <t>40,00</t>
  </si>
  <si>
    <t>44,00</t>
  </si>
  <si>
    <t>47,00</t>
  </si>
  <si>
    <t>49,00</t>
  </si>
  <si>
    <t>50,00</t>
  </si>
  <si>
    <t>87,15</t>
  </si>
  <si>
    <t>108,85</t>
  </si>
  <si>
    <t>136,07</t>
  </si>
  <si>
    <t>169,22</t>
  </si>
  <si>
    <t>6,00</t>
  </si>
  <si>
    <t>6,70</t>
  </si>
  <si>
    <t>7,30</t>
  </si>
  <si>
    <t>7,80</t>
  </si>
  <si>
    <t>8,30</t>
  </si>
  <si>
    <t>35,00</t>
  </si>
  <si>
    <t>20,00</t>
  </si>
  <si>
    <t>46,00</t>
  </si>
  <si>
    <t>41,70</t>
  </si>
  <si>
    <t>37,30</t>
  </si>
  <si>
    <t>32,80</t>
  </si>
  <si>
    <t>28,30</t>
  </si>
  <si>
    <t>14,00</t>
  </si>
  <si>
    <t>35,45</t>
  </si>
  <si>
    <t>61,55</t>
  </si>
  <si>
    <t>93,27</t>
  </si>
  <si>
    <t>130,92</t>
  </si>
  <si>
    <t>24,00</t>
  </si>
  <si>
    <t>45,45</t>
  </si>
  <si>
    <t>71,55</t>
  </si>
  <si>
    <t>103,27</t>
  </si>
  <si>
    <t>140,92</t>
  </si>
  <si>
    <t>0,00</t>
  </si>
  <si>
    <t>7,00</t>
  </si>
  <si>
    <t>8,00</t>
  </si>
  <si>
    <t>9,00</t>
  </si>
  <si>
    <t>(-/+) Variazione Crediti (AR)</t>
  </si>
  <si>
    <t>-0,60</t>
  </si>
  <si>
    <t>-0,50</t>
  </si>
  <si>
    <t>-0,40</t>
  </si>
  <si>
    <t>(+/-) Variazione Debiti (AP)</t>
  </si>
  <si>
    <t>0,70</t>
  </si>
  <si>
    <t>0,60</t>
  </si>
  <si>
    <t>0,50</t>
  </si>
  <si>
    <t>Flusso di Cassa Operativo (CFO)</t>
  </si>
  <si>
    <t>31,70</t>
  </si>
  <si>
    <t>38,32</t>
  </si>
  <si>
    <t>45,25</t>
  </si>
  <si>
    <t>-10,00</t>
  </si>
  <si>
    <t>Flusso di Cassa da Investimenti (CFI)</t>
  </si>
  <si>
    <t>Flusso di Cassa da Finanziamento (CFF)</t>
  </si>
  <si>
    <t>11,05</t>
  </si>
  <si>
    <t>16,70</t>
  </si>
  <si>
    <t>23,32</t>
  </si>
  <si>
    <t>30,25</t>
  </si>
  <si>
    <t>Totale passivo + PN</t>
  </si>
  <si>
    <t>Rimborso Equity</t>
  </si>
  <si>
    <t>Operating CF</t>
  </si>
  <si>
    <t>Investing CF</t>
  </si>
  <si>
    <t>Financing CF</t>
  </si>
  <si>
    <t>CE</t>
  </si>
  <si>
    <t>SP</t>
  </si>
  <si>
    <t>Data Visualitation</t>
  </si>
  <si>
    <t>% Gross Profit</t>
  </si>
  <si>
    <t>OCF</t>
  </si>
  <si>
    <t>ICF</t>
  </si>
  <si>
    <t>FCF</t>
  </si>
  <si>
    <t>Y</t>
  </si>
  <si>
    <t>Year</t>
  </si>
  <si>
    <t xml:space="preserve"> </t>
  </si>
  <si>
    <t>EBIT</t>
  </si>
  <si>
    <t>tax rate</t>
  </si>
  <si>
    <t>NOPAT</t>
  </si>
  <si>
    <t>(-) CapEx</t>
  </si>
  <si>
    <t>uFCFF</t>
  </si>
  <si>
    <r>
      <t>Days Sales Outstanding (DSO):</t>
    </r>
    <r>
      <rPr>
        <sz val="11"/>
        <color theme="1"/>
        <rFont val="Arial"/>
        <family val="2"/>
      </rPr>
      <t xml:space="preserve"> Calcolato su base storica 2025 (circa 36,5 giorni). Mantieni </t>
    </r>
    <r>
      <rPr>
        <b/>
        <sz val="11"/>
        <color theme="1"/>
        <rFont val="Arial"/>
        <family val="2"/>
      </rPr>
      <t>36,5 giorni</t>
    </r>
    <r>
      <rPr>
        <sz val="11"/>
        <color theme="1"/>
        <rFont val="Arial"/>
        <family val="2"/>
      </rPr>
      <t xml:space="preserve"> fissi</t>
    </r>
  </si>
  <si>
    <r>
      <t>Days Inventory Outstanding (DIO):</t>
    </r>
    <r>
      <rPr>
        <sz val="11"/>
        <color theme="1"/>
        <rFont val="Arial"/>
        <family val="2"/>
      </rPr>
      <t xml:space="preserve"> Mantieni </t>
    </r>
    <r>
      <rPr>
        <b/>
        <sz val="11"/>
        <color theme="1"/>
        <rFont val="Arial"/>
        <family val="2"/>
      </rPr>
      <t>60,5 giorni</t>
    </r>
    <r>
      <rPr>
        <sz val="11"/>
        <color theme="1"/>
        <rFont val="Arial"/>
        <family val="2"/>
      </rPr>
      <t xml:space="preserve"> fissi </t>
    </r>
  </si>
  <si>
    <r>
      <t>Days Payable Outstanding (DPO):</t>
    </r>
    <r>
      <rPr>
        <sz val="11"/>
        <color theme="1"/>
        <rFont val="Arial"/>
        <family val="2"/>
      </rPr>
      <t xml:space="preserve"> Mantieni </t>
    </r>
    <r>
      <rPr>
        <b/>
        <sz val="11"/>
        <color theme="1"/>
        <rFont val="Arial"/>
        <family val="2"/>
      </rPr>
      <t>72,8 giorni</t>
    </r>
    <r>
      <rPr>
        <sz val="11"/>
        <color theme="1"/>
        <rFont val="Arial"/>
        <family val="2"/>
      </rPr>
      <t xml:space="preserve"> fiss</t>
    </r>
    <r>
      <rPr>
        <b/>
        <sz val="11"/>
        <color theme="1"/>
        <rFont val="Arial"/>
        <family val="2"/>
      </rPr>
      <t>i</t>
    </r>
  </si>
  <si>
    <r>
      <t>Interessi attivi sulla Cassa:</t>
    </r>
    <r>
      <rPr>
        <sz val="11"/>
        <color theme="1"/>
        <rFont val="Calibri"/>
        <family val="2"/>
        <scheme val="minor"/>
      </rPr>
      <t xml:space="preserve"> Per semplicità, assumere 0% (la cassa non genera interessi).</t>
    </r>
  </si>
  <si>
    <r>
      <t>Dividendi / Aumenti di Capitale:</t>
    </r>
    <r>
      <rPr>
        <sz val="11"/>
        <color theme="1"/>
        <rFont val="Calibri"/>
        <family val="2"/>
        <scheme val="minor"/>
      </rPr>
      <t xml:space="preserve"> Assumere 0 per entrambi (tutto l'utile va a riserva).</t>
    </r>
  </si>
  <si>
    <t>WACC</t>
  </si>
  <si>
    <t>ke</t>
  </si>
  <si>
    <t>kd</t>
  </si>
  <si>
    <t xml:space="preserve">rf </t>
  </si>
  <si>
    <t>B</t>
  </si>
  <si>
    <t>rm</t>
  </si>
  <si>
    <t>tot</t>
  </si>
  <si>
    <t>E</t>
  </si>
  <si>
    <t>D</t>
  </si>
  <si>
    <t>uDCF</t>
  </si>
  <si>
    <t>Metrics</t>
  </si>
  <si>
    <t>Voci (in mln)</t>
  </si>
  <si>
    <t>Undiscounted Cash Flow</t>
  </si>
  <si>
    <t>Terminal Value</t>
  </si>
  <si>
    <t>EV</t>
  </si>
  <si>
    <t>NPV CF</t>
  </si>
  <si>
    <t>NPV TV</t>
  </si>
  <si>
    <t>Enterprise Value</t>
  </si>
  <si>
    <t>growth rate</t>
  </si>
  <si>
    <t>PFN</t>
  </si>
  <si>
    <t>(-) Liquidità</t>
  </si>
  <si>
    <t>(+) Financial debt</t>
  </si>
  <si>
    <t>EqV</t>
  </si>
  <si>
    <t>(+) EV</t>
  </si>
  <si>
    <t>(-) PFN</t>
  </si>
  <si>
    <t>Equity Value</t>
  </si>
  <si>
    <t>EVpS</t>
  </si>
  <si>
    <t>(+) EqV</t>
  </si>
  <si>
    <t>DSO</t>
  </si>
  <si>
    <t>Equity Value per Share</t>
  </si>
  <si>
    <t>Buy-Sell</t>
  </si>
  <si>
    <t>Book Value</t>
  </si>
  <si>
    <t xml:space="preserve">x </t>
  </si>
  <si>
    <t>Tasso risk free (rf): 2%</t>
  </si>
  <si>
    <t>growth rate (g): 2%</t>
  </si>
  <si>
    <t>Market return (rm): 12%</t>
  </si>
  <si>
    <t>Diluted Shares Outstanding (DSO): 10 mln</t>
  </si>
  <si>
    <t>DCF: key variables</t>
  </si>
  <si>
    <t>Corso</t>
  </si>
  <si>
    <t>A05003 Corporate finance e M&amp;A</t>
  </si>
  <si>
    <t>Matricola</t>
  </si>
  <si>
    <t>Nome</t>
  </si>
  <si>
    <t>BRYAN</t>
  </si>
  <si>
    <t>Cognome</t>
  </si>
  <si>
    <t>LATTUADA</t>
  </si>
  <si>
    <t>Assigment_n</t>
  </si>
  <si>
    <t>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</si>
</sst>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£&quot;#,##0.00;[Red]\-&quot;£&quot;#,##0.00"/>
    <numFmt numFmtId="43" formatCode="_-* #,##0.00_-;\-* #,##0.00_-;_-* &quot;-&quot;??_-;_-@_-"/>
    <numFmt numFmtId="164" formatCode="0.0000%"/>
    <numFmt numFmtId="165" formatCode="0.0%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3.5"/>
      <color theme="1"/>
      <name val="Calibri"/>
      <family val="2"/>
      <scheme val="minor"/>
    </font>
    <font>
      <b/>
      <sz val="13.5"/>
      <color theme="1"/>
      <name val="Arial"/>
      <family val="2"/>
    </font>
    <font>
      <i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theme="8" tint="-0.499984740745262"/>
      <name val="Times New Roman"/>
      <family val="1"/>
    </font>
    <font>
      <sz val="12"/>
      <name val="Times New Roman"/>
      <family val="1"/>
    </font>
    <font>
      <b/>
      <sz val="9"/>
      <color indexed="81"/>
      <name val="Tahoma"/>
      <family val="2"/>
    </font>
    <font>
      <sz val="12"/>
      <color theme="4" tint="-0.249977111117893"/>
      <name val="Times New Roman"/>
      <family val="1"/>
    </font>
    <font>
      <b/>
      <sz val="12"/>
      <color theme="4" tint="-0.249977111117893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theme="4" tint="-0.499984740745262"/>
      <name val="Times New Roman"/>
      <family val="1"/>
    </font>
    <font>
      <sz val="12"/>
      <color theme="4" tint="-0.499984740745262"/>
      <name val="Times New Roman"/>
      <family val="1"/>
    </font>
    <font>
      <b/>
      <sz val="14"/>
      <color theme="1"/>
      <name val="Calibri"/>
      <family val="2"/>
      <scheme val="minor"/>
    </font>
    <font>
      <sz val="18"/>
      <color theme="1"/>
      <name val="Times New Roman"/>
      <family val="1"/>
    </font>
    <font>
      <b/>
      <sz val="2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80">
    <xf numFmtId="0" fontId="0" fillId="0" borderId="0" xfId="0"/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7" fillId="0" borderId="0" xfId="0" applyFont="1"/>
    <xf numFmtId="0" fontId="8" fillId="2" borderId="0" xfId="0" applyFont="1" applyFill="1"/>
    <xf numFmtId="0" fontId="8" fillId="0" borderId="0" xfId="0" applyFont="1"/>
    <xf numFmtId="0" fontId="10" fillId="0" borderId="0" xfId="0" applyFont="1"/>
    <xf numFmtId="0" fontId="11" fillId="3" borderId="0" xfId="0" applyFont="1" applyFill="1"/>
    <xf numFmtId="0" fontId="11" fillId="0" borderId="0" xfId="0" applyFont="1"/>
    <xf numFmtId="0" fontId="9" fillId="0" borderId="0" xfId="0" applyFont="1"/>
    <xf numFmtId="0" fontId="9" fillId="0" borderId="1" xfId="0" applyFont="1" applyBorder="1"/>
    <xf numFmtId="0" fontId="7" fillId="0" borderId="0" xfId="0" applyFont="1" applyAlignment="1">
      <alignment horizontal="center"/>
    </xf>
    <xf numFmtId="0" fontId="10" fillId="3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1" fillId="3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10" fontId="10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/>
    </xf>
    <xf numFmtId="2" fontId="9" fillId="0" borderId="1" xfId="0" applyNumberFormat="1" applyFont="1" applyBorder="1" applyAlignment="1">
      <alignment horizontal="center"/>
    </xf>
    <xf numFmtId="2" fontId="7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2" fontId="11" fillId="3" borderId="0" xfId="0" applyNumberFormat="1" applyFont="1" applyFill="1" applyAlignment="1">
      <alignment horizontal="center"/>
    </xf>
    <xf numFmtId="2" fontId="11" fillId="0" borderId="0" xfId="0" applyNumberFormat="1" applyFont="1" applyAlignment="1">
      <alignment horizontal="center"/>
    </xf>
    <xf numFmtId="0" fontId="9" fillId="3" borderId="0" xfId="0" applyFont="1" applyFill="1"/>
    <xf numFmtId="2" fontId="7" fillId="0" borderId="0" xfId="0" applyNumberFormat="1" applyFont="1"/>
    <xf numFmtId="2" fontId="12" fillId="0" borderId="0" xfId="0" applyNumberFormat="1" applyFont="1" applyAlignment="1">
      <alignment horizontal="center"/>
    </xf>
    <xf numFmtId="0" fontId="7" fillId="0" borderId="1" xfId="0" applyFont="1" applyBorder="1"/>
    <xf numFmtId="2" fontId="14" fillId="0" borderId="0" xfId="0" applyNumberFormat="1" applyFont="1" applyAlignment="1">
      <alignment horizontal="center"/>
    </xf>
    <xf numFmtId="2" fontId="15" fillId="0" borderId="1" xfId="0" applyNumberFormat="1" applyFont="1" applyBorder="1" applyAlignment="1">
      <alignment horizontal="center"/>
    </xf>
    <xf numFmtId="2" fontId="15" fillId="0" borderId="0" xfId="0" applyNumberFormat="1" applyFont="1" applyAlignment="1">
      <alignment horizontal="center"/>
    </xf>
    <xf numFmtId="2" fontId="15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65" fontId="12" fillId="0" borderId="0" xfId="0" applyNumberFormat="1" applyFont="1"/>
    <xf numFmtId="0" fontId="7" fillId="0" borderId="0" xfId="0" quotePrefix="1" applyFont="1"/>
    <xf numFmtId="0" fontId="1" fillId="0" borderId="0" xfId="0" applyFont="1"/>
    <xf numFmtId="43" fontId="10" fillId="3" borderId="0" xfId="1" applyFont="1" applyFill="1" applyAlignment="1"/>
    <xf numFmtId="43" fontId="10" fillId="3" borderId="0" xfId="1" applyFont="1" applyFill="1" applyAlignment="1">
      <alignment horizontal="center" wrapText="1"/>
    </xf>
    <xf numFmtId="43" fontId="17" fillId="3" borderId="0" xfId="1" applyFont="1" applyFill="1" applyAlignment="1"/>
    <xf numFmtId="43" fontId="12" fillId="0" borderId="0" xfId="1" applyFont="1" applyAlignment="1"/>
    <xf numFmtId="2" fontId="17" fillId="3" borderId="0" xfId="1" applyNumberFormat="1" applyFont="1" applyFill="1" applyAlignment="1"/>
    <xf numFmtId="43" fontId="7" fillId="0" borderId="0" xfId="1" applyFont="1" applyAlignment="1"/>
    <xf numFmtId="43" fontId="9" fillId="0" borderId="1" xfId="1" applyFont="1" applyBorder="1" applyAlignment="1"/>
    <xf numFmtId="43" fontId="9" fillId="0" borderId="0" xfId="1" applyFont="1" applyAlignment="1"/>
    <xf numFmtId="43" fontId="17" fillId="4" borderId="0" xfId="1" applyFont="1" applyFill="1" applyAlignment="1"/>
    <xf numFmtId="43" fontId="18" fillId="4" borderId="0" xfId="1" applyFont="1" applyFill="1" applyAlignment="1"/>
    <xf numFmtId="43" fontId="9" fillId="0" borderId="2" xfId="1" applyFont="1" applyBorder="1" applyAlignment="1"/>
    <xf numFmtId="43" fontId="7" fillId="0" borderId="2" xfId="1" applyFont="1" applyBorder="1" applyAlignment="1"/>
    <xf numFmtId="10" fontId="7" fillId="0" borderId="13" xfId="1" applyNumberFormat="1" applyFont="1" applyBorder="1" applyAlignment="1">
      <alignment horizontal="center"/>
    </xf>
    <xf numFmtId="43" fontId="7" fillId="0" borderId="3" xfId="1" applyFont="1" applyBorder="1" applyAlignment="1"/>
    <xf numFmtId="43" fontId="7" fillId="0" borderId="4" xfId="1" applyFont="1" applyBorder="1" applyAlignment="1"/>
    <xf numFmtId="43" fontId="7" fillId="0" borderId="5" xfId="1" applyFont="1" applyBorder="1" applyAlignment="1"/>
    <xf numFmtId="43" fontId="7" fillId="0" borderId="6" xfId="1" applyFont="1" applyBorder="1" applyAlignment="1"/>
    <xf numFmtId="43" fontId="7" fillId="0" borderId="0" xfId="1" applyFont="1" applyBorder="1" applyAlignment="1"/>
    <xf numFmtId="43" fontId="7" fillId="0" borderId="7" xfId="1" applyFont="1" applyBorder="1" applyAlignment="1"/>
    <xf numFmtId="43" fontId="9" fillId="0" borderId="8" xfId="1" applyFont="1" applyBorder="1" applyAlignment="1"/>
    <xf numFmtId="43" fontId="9" fillId="0" borderId="12" xfId="1" applyFont="1" applyBorder="1" applyAlignment="1"/>
    <xf numFmtId="43" fontId="7" fillId="4" borderId="0" xfId="1" applyFont="1" applyFill="1" applyAlignment="1"/>
    <xf numFmtId="43" fontId="9" fillId="0" borderId="3" xfId="1" applyFont="1" applyBorder="1" applyAlignment="1"/>
    <xf numFmtId="43" fontId="9" fillId="0" borderId="6" xfId="1" applyFont="1" applyBorder="1" applyAlignment="1"/>
    <xf numFmtId="43" fontId="9" fillId="0" borderId="0" xfId="1" applyFont="1" applyBorder="1" applyAlignment="1"/>
    <xf numFmtId="43" fontId="9" fillId="0" borderId="7" xfId="1" applyFont="1" applyBorder="1" applyAlignment="1"/>
    <xf numFmtId="43" fontId="9" fillId="0" borderId="11" xfId="1" applyFont="1" applyBorder="1" applyAlignment="1"/>
    <xf numFmtId="43" fontId="7" fillId="0" borderId="8" xfId="1" applyFont="1" applyBorder="1" applyAlignment="1"/>
    <xf numFmtId="43" fontId="7" fillId="0" borderId="9" xfId="1" applyFont="1" applyBorder="1" applyAlignment="1"/>
    <xf numFmtId="43" fontId="9" fillId="0" borderId="10" xfId="1" applyFont="1" applyBorder="1" applyAlignment="1"/>
    <xf numFmtId="10" fontId="9" fillId="0" borderId="4" xfId="1" applyNumberFormat="1" applyFont="1" applyBorder="1" applyAlignment="1"/>
    <xf numFmtId="8" fontId="7" fillId="0" borderId="0" xfId="0" applyNumberFormat="1" applyFont="1"/>
    <xf numFmtId="43" fontId="10" fillId="0" borderId="0" xfId="1" applyFont="1" applyFill="1" applyBorder="1" applyAlignment="1"/>
    <xf numFmtId="43" fontId="7" fillId="0" borderId="0" xfId="1" applyFont="1" applyFill="1" applyBorder="1" applyAlignment="1"/>
    <xf numFmtId="0" fontId="19" fillId="0" borderId="0" xfId="0" applyFont="1"/>
    <xf numFmtId="0" fontId="7" fillId="0" borderId="0" xfId="1" applyNumberFormat="1" applyFont="1" applyAlignment="1">
      <alignment horizontal="center"/>
    </xf>
    <xf numFmtId="0" fontId="20" fillId="0" borderId="0" xfId="0" applyFont="1"/>
    <xf numFmtId="0" fontId="21" fillId="0" borderId="0" xfId="0" applyFont="1" applyAlignment="1">
      <alignment horizontal="left"/>
    </xf>
  </cellXfs>
  <cellStyles count="2">
    <cellStyle name="Migliaia" xfId="1" builtinId="3"/>
    <cellStyle name="Normale" xfId="0" builtinId="0"/>
  </cellStyles>
  <dxfs count="1">
    <dxf>
      <font>
        <b/>
        <i val="0"/>
      </font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CAFAF0"/>
      <color rgb="FFB8F3F4"/>
      <color rgb="FF4580F5"/>
      <color rgb="FF96F4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%Gross</a:t>
            </a:r>
            <a:r>
              <a:rPr lang="en-GB" baseline="0"/>
              <a:t> Profit v Revenues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'3_Statements_Model'!$P$10</c:f>
              <c:strCache>
                <c:ptCount val="1"/>
                <c:pt idx="0">
                  <c:v>Ricavi (Revenues)</c:v>
                </c:pt>
              </c:strCache>
            </c:strRef>
          </c:tx>
          <c:spPr>
            <a:solidFill>
              <a:schemeClr val="accent5">
                <a:lumMod val="75000"/>
                <a:alpha val="84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'3_Statements_Model'!$Q$10:$Z$10</c:f>
              <c:numCache>
                <c:formatCode>0.00</c:formatCode>
                <c:ptCount val="10"/>
                <c:pt idx="0">
                  <c:v>100</c:v>
                </c:pt>
                <c:pt idx="1">
                  <c:v>115</c:v>
                </c:pt>
                <c:pt idx="2">
                  <c:v>130</c:v>
                </c:pt>
                <c:pt idx="3">
                  <c:v>145</c:v>
                </c:pt>
                <c:pt idx="4">
                  <c:v>160</c:v>
                </c:pt>
                <c:pt idx="5">
                  <c:v>176</c:v>
                </c:pt>
                <c:pt idx="6">
                  <c:v>191.84</c:v>
                </c:pt>
                <c:pt idx="7">
                  <c:v>207.18720000000002</c:v>
                </c:pt>
                <c:pt idx="8">
                  <c:v>221.69030400000003</c:v>
                </c:pt>
                <c:pt idx="9">
                  <c:v>234.99172224000003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6E-4005-9BF4-5A949F973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9036511"/>
        <c:axId val="1229035551"/>
      </c:barChart>
      <c:lineChart>
        <c:grouping val="standard"/>
        <c:varyColors val="0"/>
        <c:ser>
          <c:idx val="1"/>
          <c:order val="1"/>
          <c:tx>
            <c:strRef>
              <c:f>'3_Statements_Model'!$P$11</c:f>
              <c:strCache>
                <c:ptCount val="1"/>
                <c:pt idx="0">
                  <c:v>% Gross Profit</c:v>
                </c:pt>
              </c:strCache>
            </c:strRef>
          </c:tx>
          <c:spPr>
            <a:ln w="12700" cap="rnd" cmpd="dbl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'3_Statements_Model'!$Q$11:$Z$11</c:f>
              <c:numCache>
                <c:formatCode>0.0%</c:formatCode>
                <c:ptCount val="10"/>
                <c:pt idx="0">
                  <c:v>0.7</c:v>
                </c:pt>
                <c:pt idx="1">
                  <c:v>0.70956521739130429</c:v>
                </c:pt>
                <c:pt idx="2">
                  <c:v>0.72</c:v>
                </c:pt>
                <c:pt idx="3">
                  <c:v>0.72965517241379307</c:v>
                </c:pt>
                <c:pt idx="4">
                  <c:v>0.74</c:v>
                </c:pt>
                <c:pt idx="5">
                  <c:v>0.7400000000000001</c:v>
                </c:pt>
                <c:pt idx="6">
                  <c:v>0.74</c:v>
                </c:pt>
                <c:pt idx="7">
                  <c:v>0.74</c:v>
                </c:pt>
                <c:pt idx="8">
                  <c:v>0.73999999999999988</c:v>
                </c:pt>
                <c:pt idx="9">
                  <c:v>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6E-4005-9BF4-5A949F973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6973183"/>
        <c:axId val="1236976063"/>
      </c:lineChart>
      <c:catAx>
        <c:axId val="1229036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035551"/>
        <c:crosses val="autoZero"/>
        <c:auto val="1"/>
        <c:lblAlgn val="ctr"/>
        <c:lblOffset val="100"/>
        <c:noMultiLvlLbl val="0"/>
      </c:catAx>
      <c:valAx>
        <c:axId val="122903555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Mln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036511"/>
        <c:crosses val="autoZero"/>
        <c:crossBetween val="between"/>
      </c:valAx>
      <c:valAx>
        <c:axId val="123697606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%GrossProfit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973183"/>
        <c:crosses val="max"/>
        <c:crossBetween val="between"/>
      </c:valAx>
      <c:catAx>
        <c:axId val="1236973183"/>
        <c:scaling>
          <c:orientation val="minMax"/>
        </c:scaling>
        <c:delete val="1"/>
        <c:axPos val="b"/>
        <c:majorTickMark val="none"/>
        <c:minorTickMark val="none"/>
        <c:tickLblPos val="nextTo"/>
        <c:crossAx val="12369760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Cash 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'3_Statements_Model'!$P$37:$Q$37</c:f>
              <c:strCache>
                <c:ptCount val="2"/>
                <c:pt idx="0">
                  <c:v>OCF</c:v>
                </c:pt>
                <c:pt idx="1">
                  <c:v>-</c:v>
                </c:pt>
              </c:strCache>
            </c:strRef>
          </c:tx>
          <c:spPr>
            <a:solidFill>
              <a:srgbClr val="CAFA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'3_Statements_Model'!$R$36:$Z$36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'3_Statements_Model'!$R$37:$Z$37</c:f>
              <c:numCache>
                <c:formatCode>0.00</c:formatCode>
                <c:ptCount val="9"/>
                <c:pt idx="0">
                  <c:v>26.049999999999997</c:v>
                </c:pt>
                <c:pt idx="1">
                  <c:v>31.700000000000003</c:v>
                </c:pt>
                <c:pt idx="2">
                  <c:v>38.32</c:v>
                </c:pt>
                <c:pt idx="3">
                  <c:v>45.25</c:v>
                </c:pt>
                <c:pt idx="4">
                  <c:v>51.672049315068506</c:v>
                </c:pt>
                <c:pt idx="5">
                  <c:v>57.262384438356165</c:v>
                </c:pt>
                <c:pt idx="6">
                  <c:v>62.855906700273977</c:v>
                </c:pt>
                <c:pt idx="7">
                  <c:v>67.508851831758903</c:v>
                </c:pt>
                <c:pt idx="8">
                  <c:v>71.833917137127443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C0-4DF8-91B5-AA07898B5CCA}"/>
            </c:ext>
          </c:extLst>
        </c:ser>
        <c:ser>
          <c:idx val="1"/>
          <c:order val="1"/>
          <c:tx>
            <c:strRef>
              <c:f>'3_Statements_Model'!$P$38:$Q$38</c:f>
              <c:strCache>
                <c:ptCount val="2"/>
                <c:pt idx="0">
                  <c:v>ICF</c:v>
                </c:pt>
                <c:pt idx="1">
                  <c:v>-</c:v>
                </c:pt>
              </c:strCache>
            </c:strRef>
          </c:tx>
          <c:spPr>
            <a:solidFill>
              <a:srgbClr val="4580F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'3_Statements_Model'!$R$36:$Z$36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'3_Statements_Model'!$R$38:$Z$38</c:f>
              <c:numCache>
                <c:formatCode>0.00</c:formatCode>
                <c:ptCount val="9"/>
                <c:pt idx="0">
                  <c:v>-10</c:v>
                </c:pt>
                <c:pt idx="1">
                  <c:v>-10</c:v>
                </c:pt>
                <c:pt idx="2">
                  <c:v>-10</c:v>
                </c:pt>
                <c:pt idx="3">
                  <c:v>-10</c:v>
                </c:pt>
                <c:pt idx="4">
                  <c:v>-12</c:v>
                </c:pt>
                <c:pt idx="5">
                  <c:v>-12</c:v>
                </c:pt>
                <c:pt idx="6">
                  <c:v>-12</c:v>
                </c:pt>
                <c:pt idx="7">
                  <c:v>-12</c:v>
                </c:pt>
                <c:pt idx="8">
                  <c:v>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C0-4DF8-91B5-AA07898B5CCA}"/>
            </c:ext>
          </c:extLst>
        </c:ser>
        <c:ser>
          <c:idx val="2"/>
          <c:order val="2"/>
          <c:tx>
            <c:strRef>
              <c:f>'3_Statements_Model'!$P$39:$Q$39</c:f>
              <c:strCache>
                <c:ptCount val="2"/>
                <c:pt idx="0">
                  <c:v>FCF</c:v>
                </c:pt>
                <c:pt idx="1">
                  <c:v>-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'3_Statements_Model'!$R$36:$Z$36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'3_Statements_Model'!$R$39:$Z$39</c:f>
              <c:numCache>
                <c:formatCode>0.00</c:formatCode>
                <c:ptCount val="9"/>
                <c:pt idx="0">
                  <c:v>-5</c:v>
                </c:pt>
                <c:pt idx="1">
                  <c:v>-5</c:v>
                </c:pt>
                <c:pt idx="2">
                  <c:v>-5</c:v>
                </c:pt>
                <c:pt idx="3">
                  <c:v>-5</c:v>
                </c:pt>
                <c:pt idx="4">
                  <c:v>-5</c:v>
                </c:pt>
                <c:pt idx="5">
                  <c:v>-5</c:v>
                </c:pt>
                <c:pt idx="6">
                  <c:v>-5</c:v>
                </c:pt>
                <c:pt idx="7">
                  <c:v>-5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C0-4DF8-91B5-AA07898B5CC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55"/>
        <c:overlap val="100"/>
        <c:axId val="1134828591"/>
        <c:axId val="1134812271"/>
      </c:barChart>
      <c:catAx>
        <c:axId val="1134828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Anno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812271"/>
        <c:crosses val="autoZero"/>
        <c:auto val="1"/>
        <c:lblAlgn val="ctr"/>
        <c:lblOffset val="100"/>
        <c:noMultiLvlLbl val="0"/>
      </c:catAx>
      <c:valAx>
        <c:axId val="113481227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% CF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828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uDCF and</a:t>
            </a:r>
            <a:r>
              <a:rPr lang="en-GB" baseline="0"/>
              <a:t> PFN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DCF_Model!$P$6</c:f>
              <c:strCache>
                <c:ptCount val="1"/>
                <c:pt idx="0">
                  <c:v> uDCF </c:v>
                </c:pt>
              </c:strCache>
            </c:strRef>
          </c:tx>
          <c:spPr>
            <a:solidFill>
              <a:srgbClr val="CAFA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DCF_Model!$Q$5:$V$5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DCF_Model!$Q$6:$V$6</c:f>
              <c:numCache>
                <c:formatCode>_(* #,##0.00_);_(* \(#,##0.00\);_(* "-"??_);_(@_)</c:formatCode>
                <c:ptCount val="6"/>
                <c:pt idx="0">
                  <c:v>36.150000000000006</c:v>
                </c:pt>
                <c:pt idx="1">
                  <c:v>35.412232630212017</c:v>
                </c:pt>
                <c:pt idx="2">
                  <c:v>34.996047035793715</c:v>
                </c:pt>
                <c:pt idx="3">
                  <c:v>34.115085067182747</c:v>
                </c:pt>
                <c:pt idx="4">
                  <c:v>32.346292839742055</c:v>
                </c:pt>
                <c:pt idx="5">
                  <c:v>30.309533688633785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7A-46F4-A278-1C01EA75B8B5}"/>
            </c:ext>
          </c:extLst>
        </c:ser>
        <c:ser>
          <c:idx val="1"/>
          <c:order val="1"/>
          <c:tx>
            <c:strRef>
              <c:f>DCF_Model!$P$7</c:f>
              <c:strCache>
                <c:ptCount val="1"/>
                <c:pt idx="0">
                  <c:v> PFN 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DCF_Model!$Q$5:$V$5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DCF_Model!$Q$7:$V$7</c:f>
              <c:numCache>
                <c:formatCode>_(* #,##0.00_);_(* \(#,##0.00\);_(* "-"??_);_(@_)</c:formatCode>
                <c:ptCount val="6"/>
                <c:pt idx="0">
                  <c:v>-76.319999999999993</c:v>
                </c:pt>
                <c:pt idx="1">
                  <c:v>-115.9920493150685</c:v>
                </c:pt>
                <c:pt idx="2">
                  <c:v>-161.25443375342468</c:v>
                </c:pt>
                <c:pt idx="3">
                  <c:v>-212.11034045369865</c:v>
                </c:pt>
                <c:pt idx="4">
                  <c:v>-267.61919228545753</c:v>
                </c:pt>
                <c:pt idx="5">
                  <c:v>-327.45310942258499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7A-46F4-A278-1C01EA75B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96218495"/>
        <c:axId val="1396224255"/>
      </c:barChart>
      <c:catAx>
        <c:axId val="139621849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224255"/>
        <c:crosses val="autoZero"/>
        <c:auto val="1"/>
        <c:lblAlgn val="ctr"/>
        <c:lblOffset val="100"/>
        <c:noMultiLvlLbl val="0"/>
      </c:catAx>
      <c:valAx>
        <c:axId val="139622425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218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806436</xdr:colOff>
      <xdr:row>6</xdr:row>
      <xdr:rowOff>224692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117C96B5-C4F0-47E7-8C8E-2FF14C7D8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083858" cy="19772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515145</xdr:colOff>
      <xdr:row>12</xdr:row>
      <xdr:rowOff>116250</xdr:rowOff>
    </xdr:from>
    <xdr:to>
      <xdr:col>27</xdr:col>
      <xdr:colOff>26801</xdr:colOff>
      <xdr:row>33</xdr:row>
      <xdr:rowOff>180053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293CA7C4-890A-1EFF-3F89-F6FD9DA6E6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28685</xdr:colOff>
      <xdr:row>39</xdr:row>
      <xdr:rowOff>99772</xdr:rowOff>
    </xdr:from>
    <xdr:to>
      <xdr:col>29</xdr:col>
      <xdr:colOff>175172</xdr:colOff>
      <xdr:row>60</xdr:row>
      <xdr:rowOff>61457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9CA88371-5DB5-75B0-4C7C-FD2EB9292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587992</xdr:colOff>
      <xdr:row>8</xdr:row>
      <xdr:rowOff>17977</xdr:rowOff>
    </xdr:from>
    <xdr:to>
      <xdr:col>27</xdr:col>
      <xdr:colOff>230909</xdr:colOff>
      <xdr:row>28</xdr:row>
      <xdr:rowOff>65974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35C8F1D-D13A-3E64-FAC5-A300A99BDD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0B613-7011-4C0C-9BFA-211D86C4B3C1}">
  <sheetPr>
    <tabColor theme="7" tint="0.39997558519241921"/>
  </sheetPr>
  <dimension ref="B12:C16"/>
  <sheetViews>
    <sheetView showGridLines="0" tabSelected="1" zoomScale="57" workbookViewId="0">
      <selection activeCell="D17" sqref="D17"/>
    </sheetView>
  </sheetViews>
  <sheetFormatPr defaultRowHeight="23" x14ac:dyDescent="0.5"/>
  <cols>
    <col min="1" max="1" width="8.7265625" style="78"/>
    <col min="2" max="2" width="24" style="78" customWidth="1"/>
    <col min="3" max="3" width="62.6328125" style="78" bestFit="1" customWidth="1"/>
    <col min="4" max="16384" width="8.7265625" style="78"/>
  </cols>
  <sheetData>
    <row r="12" spans="2:3" ht="27.5" x14ac:dyDescent="0.55000000000000004">
      <c r="B12" s="78" t="s">
        <v>261</v>
      </c>
      <c r="C12" s="79" t="s">
        <v>262</v>
      </c>
    </row>
    <row r="13" spans="2:3" ht="27.5" x14ac:dyDescent="0.55000000000000004">
      <c r="B13" s="78" t="s">
        <v>263</v>
      </c>
      <c r="C13" s="79">
        <v>34226</v>
      </c>
    </row>
    <row r="14" spans="2:3" ht="27.5" x14ac:dyDescent="0.55000000000000004">
      <c r="B14" s="78" t="s">
        <v>264</v>
      </c>
      <c r="C14" s="79" t="s">
        <v>265</v>
      </c>
    </row>
    <row r="15" spans="2:3" ht="27.5" x14ac:dyDescent="0.55000000000000004">
      <c r="B15" s="78" t="s">
        <v>266</v>
      </c>
      <c r="C15" s="79" t="s">
        <v>267</v>
      </c>
    </row>
    <row r="16" spans="2:3" ht="27.5" x14ac:dyDescent="0.55000000000000004">
      <c r="B16" s="78" t="s">
        <v>268</v>
      </c>
      <c r="C16" s="79" t="s">
        <v>269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499984740745262"/>
  </sheetPr>
  <dimension ref="A2:AH93"/>
  <sheetViews>
    <sheetView showGridLines="0" topLeftCell="A3" zoomScale="99" workbookViewId="0">
      <pane xSplit="2" ySplit="3" topLeftCell="C31" activePane="bottomRight" state="frozen"/>
      <selection activeCell="A3" sqref="A3"/>
      <selection pane="topRight" activeCell="C3" sqref="C3"/>
      <selection pane="bottomLeft" activeCell="A5" sqref="A5"/>
      <selection pane="bottomRight" activeCell="H35" sqref="H35"/>
    </sheetView>
  </sheetViews>
  <sheetFormatPr defaultRowHeight="15.5" x14ac:dyDescent="0.35"/>
  <cols>
    <col min="1" max="1" width="1.90625" style="6" bestFit="1" customWidth="1"/>
    <col min="2" max="2" width="37.26953125" style="6" bestFit="1" customWidth="1"/>
    <col min="3" max="7" width="12.36328125" style="14" customWidth="1"/>
    <col min="8" max="11" width="12.36328125" style="26" customWidth="1"/>
    <col min="12" max="12" width="13.54296875" style="26" customWidth="1"/>
    <col min="13" max="13" width="12.26953125" style="6" bestFit="1" customWidth="1"/>
    <col min="14" max="14" width="6.26953125" style="6" customWidth="1"/>
    <col min="15" max="15" width="4.81640625" style="6" customWidth="1"/>
    <col min="16" max="16" width="18" style="6" bestFit="1" customWidth="1"/>
    <col min="17" max="16384" width="8.7265625" style="6"/>
  </cols>
  <sheetData>
    <row r="2" spans="1:29" ht="16.5" customHeight="1" x14ac:dyDescent="0.35">
      <c r="H2" s="14"/>
      <c r="I2" s="14"/>
      <c r="J2" s="14"/>
      <c r="K2" s="14"/>
      <c r="L2" s="14"/>
    </row>
    <row r="3" spans="1:29" ht="16.5" customHeight="1" x14ac:dyDescent="0.35">
      <c r="H3" s="14"/>
      <c r="I3" s="14"/>
      <c r="J3" s="14"/>
      <c r="K3" s="14"/>
      <c r="L3" s="14"/>
    </row>
    <row r="4" spans="1:29" x14ac:dyDescent="0.35">
      <c r="B4" s="7"/>
      <c r="C4" s="30"/>
      <c r="D4" s="30"/>
      <c r="E4" s="30" t="s">
        <v>36</v>
      </c>
      <c r="F4" s="30"/>
      <c r="G4" s="30"/>
      <c r="H4" s="7"/>
      <c r="I4" s="7"/>
      <c r="J4" s="7" t="s">
        <v>37</v>
      </c>
      <c r="K4" s="7"/>
      <c r="L4" s="7"/>
    </row>
    <row r="5" spans="1:29" x14ac:dyDescent="0.35">
      <c r="B5" s="7" t="s">
        <v>0</v>
      </c>
      <c r="C5" s="15">
        <v>2021</v>
      </c>
      <c r="D5" s="15">
        <v>2022</v>
      </c>
      <c r="E5" s="15">
        <v>2023</v>
      </c>
      <c r="F5" s="15">
        <v>2024</v>
      </c>
      <c r="G5" s="15">
        <v>2025</v>
      </c>
      <c r="H5" s="16">
        <f>+G5+1</f>
        <v>2026</v>
      </c>
      <c r="I5" s="16">
        <f t="shared" ref="I5:L5" si="0">+H5+1</f>
        <v>2027</v>
      </c>
      <c r="J5" s="16">
        <f t="shared" si="0"/>
        <v>2028</v>
      </c>
      <c r="K5" s="16">
        <f t="shared" si="0"/>
        <v>2029</v>
      </c>
      <c r="L5" s="16">
        <f t="shared" si="0"/>
        <v>2030</v>
      </c>
    </row>
    <row r="6" spans="1:29" x14ac:dyDescent="0.35">
      <c r="B6" s="8"/>
      <c r="C6" s="17"/>
      <c r="D6" s="17"/>
      <c r="E6" s="17"/>
      <c r="F6" s="17"/>
      <c r="G6" s="17"/>
      <c r="H6" s="18"/>
      <c r="I6" s="18"/>
      <c r="J6" s="18"/>
      <c r="K6" s="18"/>
      <c r="L6" s="18"/>
    </row>
    <row r="7" spans="1:29" x14ac:dyDescent="0.35">
      <c r="A7" s="6" t="s">
        <v>25</v>
      </c>
      <c r="B7" s="10" t="s">
        <v>50</v>
      </c>
      <c r="C7" s="19"/>
      <c r="D7" s="19"/>
      <c r="E7" s="19"/>
      <c r="F7" s="19"/>
      <c r="G7" s="19"/>
      <c r="H7" s="19"/>
      <c r="I7" s="19"/>
      <c r="J7" s="19"/>
      <c r="K7" s="19"/>
      <c r="L7" s="19"/>
      <c r="O7" s="6" t="s">
        <v>25</v>
      </c>
      <c r="P7" s="10" t="s">
        <v>205</v>
      </c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9" x14ac:dyDescent="0.35">
      <c r="B8" s="8"/>
      <c r="C8" s="17"/>
      <c r="D8" s="17"/>
      <c r="E8" s="17"/>
      <c r="F8" s="17"/>
      <c r="G8" s="17"/>
      <c r="H8" s="18"/>
      <c r="I8" s="18"/>
      <c r="J8" s="18"/>
      <c r="K8" s="18"/>
      <c r="L8" s="18"/>
      <c r="P8" s="11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9" s="21" customFormat="1" x14ac:dyDescent="0.35">
      <c r="B9" s="9" t="s">
        <v>51</v>
      </c>
      <c r="C9" s="23" t="s">
        <v>52</v>
      </c>
      <c r="D9" s="23" t="s">
        <v>52</v>
      </c>
      <c r="E9" s="23" t="s">
        <v>52</v>
      </c>
      <c r="F9" s="23" t="s">
        <v>52</v>
      </c>
      <c r="G9" s="23" t="s">
        <v>52</v>
      </c>
      <c r="H9" s="22">
        <v>0.1</v>
      </c>
      <c r="I9" s="22">
        <f>+H9+$M$9</f>
        <v>9.0000000000000011E-2</v>
      </c>
      <c r="J9" s="22">
        <f>+I9+$M$9</f>
        <v>8.0000000000000016E-2</v>
      </c>
      <c r="K9" s="22">
        <f>+J9+$M$9</f>
        <v>7.0000000000000021E-2</v>
      </c>
      <c r="L9" s="22">
        <f>+K9+$M$9</f>
        <v>6.0000000000000019E-2</v>
      </c>
      <c r="M9" s="22">
        <v>-0.01</v>
      </c>
      <c r="N9" s="22"/>
      <c r="P9" s="6" t="s">
        <v>210</v>
      </c>
      <c r="Q9" s="6">
        <v>2021</v>
      </c>
      <c r="R9" s="6">
        <f>+Q9+1</f>
        <v>2022</v>
      </c>
      <c r="S9" s="6">
        <f t="shared" ref="S9:Z9" si="1">+R9+1</f>
        <v>2023</v>
      </c>
      <c r="T9" s="6">
        <f t="shared" si="1"/>
        <v>2024</v>
      </c>
      <c r="U9" s="6">
        <f t="shared" si="1"/>
        <v>2025</v>
      </c>
      <c r="V9" s="6">
        <f t="shared" si="1"/>
        <v>2026</v>
      </c>
      <c r="W9" s="6">
        <f t="shared" si="1"/>
        <v>2027</v>
      </c>
      <c r="X9" s="6">
        <f t="shared" si="1"/>
        <v>2028</v>
      </c>
      <c r="Y9" s="6">
        <f t="shared" si="1"/>
        <v>2029</v>
      </c>
      <c r="Z9" s="6">
        <f t="shared" si="1"/>
        <v>2030</v>
      </c>
      <c r="AA9" s="6"/>
      <c r="AB9" s="6"/>
      <c r="AC9" s="6"/>
    </row>
    <row r="10" spans="1:29" s="21" customFormat="1" x14ac:dyDescent="0.35">
      <c r="B10" s="9" t="s">
        <v>53</v>
      </c>
      <c r="C10" s="23" t="s">
        <v>52</v>
      </c>
      <c r="D10" s="23" t="s">
        <v>52</v>
      </c>
      <c r="E10" s="23" t="s">
        <v>52</v>
      </c>
      <c r="F10" s="23" t="s">
        <v>52</v>
      </c>
      <c r="G10" s="23" t="s">
        <v>52</v>
      </c>
      <c r="H10" s="22">
        <v>0.26</v>
      </c>
      <c r="I10" s="22">
        <f>26%+$M$10</f>
        <v>0.26</v>
      </c>
      <c r="J10" s="22">
        <f t="shared" ref="J10:L10" si="2">26%+$M$10</f>
        <v>0.26</v>
      </c>
      <c r="K10" s="22">
        <f t="shared" si="2"/>
        <v>0.26</v>
      </c>
      <c r="L10" s="22">
        <f t="shared" si="2"/>
        <v>0.26</v>
      </c>
      <c r="P10" s="12" t="s">
        <v>1</v>
      </c>
      <c r="Q10" s="26">
        <v>100</v>
      </c>
      <c r="R10" s="26">
        <v>115</v>
      </c>
      <c r="S10" s="26">
        <v>130</v>
      </c>
      <c r="T10" s="26">
        <v>145</v>
      </c>
      <c r="U10" s="26">
        <v>160</v>
      </c>
      <c r="V10" s="34">
        <f>+H28</f>
        <v>176</v>
      </c>
      <c r="W10" s="34">
        <f t="shared" ref="W10:Z10" si="3">+I28</f>
        <v>191.84</v>
      </c>
      <c r="X10" s="34">
        <f t="shared" si="3"/>
        <v>207.18720000000002</v>
      </c>
      <c r="Y10" s="34">
        <f t="shared" si="3"/>
        <v>221.69030400000003</v>
      </c>
      <c r="Z10" s="34">
        <f t="shared" si="3"/>
        <v>234.99172224000003</v>
      </c>
    </row>
    <row r="11" spans="1:29" s="21" customFormat="1" x14ac:dyDescent="0.35">
      <c r="B11" s="9" t="s">
        <v>54</v>
      </c>
      <c r="C11" s="23" t="s">
        <v>52</v>
      </c>
      <c r="D11" s="23" t="s">
        <v>52</v>
      </c>
      <c r="E11" s="23" t="s">
        <v>52</v>
      </c>
      <c r="F11" s="23" t="s">
        <v>52</v>
      </c>
      <c r="G11" s="23" t="s">
        <v>52</v>
      </c>
      <c r="H11" s="22">
        <v>0.35</v>
      </c>
      <c r="I11" s="22">
        <v>0.34499999999999997</v>
      </c>
      <c r="J11" s="22">
        <v>0.34</v>
      </c>
      <c r="K11" s="22">
        <v>0.34</v>
      </c>
      <c r="L11" s="22">
        <v>0.34</v>
      </c>
      <c r="P11" s="9" t="s">
        <v>206</v>
      </c>
      <c r="Q11" s="39">
        <f>+C30/C28</f>
        <v>0.7</v>
      </c>
      <c r="R11" s="39">
        <f t="shared" ref="R11:Z11" si="4">+D30/D28</f>
        <v>0.70956521739130429</v>
      </c>
      <c r="S11" s="39">
        <f t="shared" si="4"/>
        <v>0.72</v>
      </c>
      <c r="T11" s="39">
        <f t="shared" si="4"/>
        <v>0.72965517241379307</v>
      </c>
      <c r="U11" s="39">
        <f t="shared" si="4"/>
        <v>0.74</v>
      </c>
      <c r="V11" s="39">
        <f t="shared" si="4"/>
        <v>0.7400000000000001</v>
      </c>
      <c r="W11" s="39">
        <f t="shared" si="4"/>
        <v>0.74</v>
      </c>
      <c r="X11" s="39">
        <f t="shared" si="4"/>
        <v>0.74</v>
      </c>
      <c r="Y11" s="39">
        <f t="shared" si="4"/>
        <v>0.73999999999999988</v>
      </c>
      <c r="Z11" s="39">
        <f t="shared" si="4"/>
        <v>0.74</v>
      </c>
    </row>
    <row r="12" spans="1:29" s="21" customFormat="1" x14ac:dyDescent="0.35">
      <c r="B12" s="9" t="s">
        <v>55</v>
      </c>
      <c r="C12" s="23" t="s">
        <v>52</v>
      </c>
      <c r="D12" s="23" t="s">
        <v>52</v>
      </c>
      <c r="E12" s="23" t="s">
        <v>52</v>
      </c>
      <c r="F12" s="23" t="s">
        <v>52</v>
      </c>
      <c r="G12" s="23" t="s">
        <v>52</v>
      </c>
      <c r="H12" s="22">
        <v>0.85</v>
      </c>
      <c r="I12" s="22">
        <v>0.85</v>
      </c>
      <c r="J12" s="22">
        <v>0.85</v>
      </c>
      <c r="K12" s="22">
        <v>0.85</v>
      </c>
      <c r="L12" s="22">
        <v>0.85</v>
      </c>
    </row>
    <row r="13" spans="1:29" s="21" customFormat="1" x14ac:dyDescent="0.35">
      <c r="B13" s="9" t="s">
        <v>56</v>
      </c>
      <c r="C13" s="23" t="s">
        <v>52</v>
      </c>
      <c r="D13" s="23" t="s">
        <v>52</v>
      </c>
      <c r="E13" s="23" t="s">
        <v>52</v>
      </c>
      <c r="F13" s="23" t="s">
        <v>52</v>
      </c>
      <c r="G13" s="23" t="s">
        <v>52</v>
      </c>
      <c r="H13" s="22">
        <v>0.25</v>
      </c>
      <c r="I13" s="22">
        <v>0.25</v>
      </c>
      <c r="J13" s="22">
        <v>0.25</v>
      </c>
      <c r="K13" s="22">
        <v>0.25</v>
      </c>
      <c r="L13" s="22">
        <v>0.25</v>
      </c>
    </row>
    <row r="14" spans="1:29" s="21" customFormat="1" x14ac:dyDescent="0.35">
      <c r="B14" s="9"/>
      <c r="C14" s="23" t="s">
        <v>52</v>
      </c>
      <c r="D14" s="23" t="s">
        <v>52</v>
      </c>
      <c r="E14" s="23" t="s">
        <v>52</v>
      </c>
      <c r="F14" s="23" t="s">
        <v>52</v>
      </c>
      <c r="G14" s="23" t="s">
        <v>52</v>
      </c>
      <c r="H14" s="22"/>
      <c r="I14" s="22"/>
      <c r="J14" s="22"/>
      <c r="K14" s="22"/>
      <c r="L14" s="22"/>
    </row>
    <row r="15" spans="1:29" s="21" customFormat="1" x14ac:dyDescent="0.35">
      <c r="B15" s="9" t="s">
        <v>57</v>
      </c>
      <c r="C15" s="23" t="s">
        <v>52</v>
      </c>
      <c r="D15" s="23" t="s">
        <v>52</v>
      </c>
      <c r="E15" s="23" t="s">
        <v>52</v>
      </c>
      <c r="F15" s="23" t="s">
        <v>52</v>
      </c>
      <c r="G15" s="23" t="s">
        <v>52</v>
      </c>
      <c r="H15" s="24">
        <v>36.5</v>
      </c>
      <c r="I15" s="24">
        <v>36.5</v>
      </c>
      <c r="J15" s="24">
        <v>36.5</v>
      </c>
      <c r="K15" s="24">
        <v>36.5</v>
      </c>
      <c r="L15" s="24">
        <v>36.5</v>
      </c>
    </row>
    <row r="16" spans="1:29" s="21" customFormat="1" x14ac:dyDescent="0.35">
      <c r="B16" s="9" t="s">
        <v>58</v>
      </c>
      <c r="C16" s="23" t="s">
        <v>52</v>
      </c>
      <c r="D16" s="23" t="s">
        <v>52</v>
      </c>
      <c r="E16" s="23" t="s">
        <v>52</v>
      </c>
      <c r="F16" s="23" t="s">
        <v>52</v>
      </c>
      <c r="G16" s="23" t="s">
        <v>52</v>
      </c>
      <c r="H16" s="24">
        <v>60.5</v>
      </c>
      <c r="I16" s="24">
        <v>60.5</v>
      </c>
      <c r="J16" s="24">
        <v>60.5</v>
      </c>
      <c r="K16" s="24">
        <v>60.5</v>
      </c>
      <c r="L16" s="24">
        <v>60.5</v>
      </c>
    </row>
    <row r="17" spans="1:29" s="21" customFormat="1" x14ac:dyDescent="0.35">
      <c r="B17" s="9" t="s">
        <v>59</v>
      </c>
      <c r="C17" s="23" t="s">
        <v>52</v>
      </c>
      <c r="D17" s="23" t="s">
        <v>52</v>
      </c>
      <c r="E17" s="23" t="s">
        <v>52</v>
      </c>
      <c r="F17" s="23" t="s">
        <v>52</v>
      </c>
      <c r="G17" s="23" t="s">
        <v>52</v>
      </c>
      <c r="H17" s="24">
        <v>72.8</v>
      </c>
      <c r="I17" s="24">
        <v>72.8</v>
      </c>
      <c r="J17" s="24">
        <v>72.8</v>
      </c>
      <c r="K17" s="24">
        <v>72.8</v>
      </c>
      <c r="L17" s="24">
        <v>72.8</v>
      </c>
    </row>
    <row r="18" spans="1:29" s="21" customFormat="1" x14ac:dyDescent="0.35">
      <c r="B18" s="9"/>
      <c r="C18" s="23"/>
      <c r="D18" s="23"/>
      <c r="E18" s="23"/>
      <c r="F18" s="23"/>
      <c r="G18" s="23"/>
      <c r="H18" s="24"/>
      <c r="I18" s="24"/>
      <c r="J18" s="24"/>
      <c r="K18" s="24"/>
      <c r="L18" s="24"/>
    </row>
    <row r="19" spans="1:29" s="21" customFormat="1" x14ac:dyDescent="0.35">
      <c r="B19" s="9" t="s">
        <v>60</v>
      </c>
      <c r="C19" s="23" t="s">
        <v>52</v>
      </c>
      <c r="D19" s="23" t="s">
        <v>52</v>
      </c>
      <c r="E19" s="23" t="s">
        <v>52</v>
      </c>
      <c r="F19" s="23" t="s">
        <v>52</v>
      </c>
      <c r="G19" s="23" t="s">
        <v>52</v>
      </c>
      <c r="H19" s="24">
        <v>12</v>
      </c>
      <c r="I19" s="24">
        <v>12</v>
      </c>
      <c r="J19" s="24">
        <v>12</v>
      </c>
      <c r="K19" s="24">
        <v>12</v>
      </c>
      <c r="L19" s="24">
        <v>12</v>
      </c>
    </row>
    <row r="20" spans="1:29" s="21" customFormat="1" x14ac:dyDescent="0.35">
      <c r="B20" s="9" t="s">
        <v>30</v>
      </c>
      <c r="C20" s="23" t="s">
        <v>52</v>
      </c>
      <c r="D20" s="23" t="s">
        <v>52</v>
      </c>
      <c r="E20" s="23" t="s">
        <v>52</v>
      </c>
      <c r="F20" s="23" t="s">
        <v>52</v>
      </c>
      <c r="G20" s="23" t="s">
        <v>52</v>
      </c>
      <c r="H20" s="24">
        <v>-5</v>
      </c>
      <c r="I20" s="24">
        <v>-5</v>
      </c>
      <c r="J20" s="24">
        <v>-5</v>
      </c>
      <c r="K20" s="24">
        <v>-5</v>
      </c>
      <c r="L20" s="24">
        <v>0</v>
      </c>
    </row>
    <row r="21" spans="1:29" s="21" customFormat="1" x14ac:dyDescent="0.35">
      <c r="B21" s="9" t="s">
        <v>61</v>
      </c>
      <c r="C21" s="23" t="s">
        <v>52</v>
      </c>
      <c r="D21" s="23" t="s">
        <v>52</v>
      </c>
      <c r="E21" s="23" t="s">
        <v>52</v>
      </c>
      <c r="F21" s="23" t="s">
        <v>52</v>
      </c>
      <c r="G21" s="23" t="s">
        <v>52</v>
      </c>
      <c r="H21" s="22">
        <v>0.06</v>
      </c>
      <c r="I21" s="22">
        <v>0.06</v>
      </c>
      <c r="J21" s="22">
        <v>0.06</v>
      </c>
      <c r="K21" s="22">
        <v>0.06</v>
      </c>
      <c r="L21" s="22">
        <v>0.06</v>
      </c>
    </row>
    <row r="22" spans="1:29" s="21" customFormat="1" x14ac:dyDescent="0.35">
      <c r="B22" s="9" t="s">
        <v>62</v>
      </c>
      <c r="C22" s="23" t="s">
        <v>52</v>
      </c>
      <c r="D22" s="23" t="s">
        <v>52</v>
      </c>
      <c r="E22" s="23" t="s">
        <v>52</v>
      </c>
      <c r="F22" s="23" t="s">
        <v>52</v>
      </c>
      <c r="G22" s="23" t="s">
        <v>52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</row>
    <row r="23" spans="1:29" s="21" customFormat="1" x14ac:dyDescent="0.35">
      <c r="B23" s="9" t="s">
        <v>63</v>
      </c>
      <c r="C23" s="23" t="s">
        <v>52</v>
      </c>
      <c r="D23" s="23" t="s">
        <v>52</v>
      </c>
      <c r="E23" s="23" t="s">
        <v>52</v>
      </c>
      <c r="F23" s="23" t="s">
        <v>52</v>
      </c>
      <c r="G23" s="23" t="s">
        <v>52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</row>
    <row r="24" spans="1:29" s="21" customFormat="1" x14ac:dyDescent="0.35">
      <c r="B24" s="9" t="s">
        <v>64</v>
      </c>
      <c r="C24" s="23" t="s">
        <v>52</v>
      </c>
      <c r="D24" s="23" t="s">
        <v>52</v>
      </c>
      <c r="E24" s="23" t="s">
        <v>52</v>
      </c>
      <c r="F24" s="23" t="s">
        <v>52</v>
      </c>
      <c r="G24" s="23" t="s">
        <v>52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</row>
    <row r="25" spans="1:29" s="21" customFormat="1" x14ac:dyDescent="0.35">
      <c r="B25" s="9"/>
      <c r="C25" s="17"/>
      <c r="D25" s="17"/>
      <c r="E25" s="17"/>
      <c r="F25" s="17"/>
      <c r="G25" s="17"/>
      <c r="H25" s="17"/>
      <c r="I25" s="17"/>
      <c r="J25" s="17"/>
      <c r="K25" s="17"/>
      <c r="L25" s="17"/>
    </row>
    <row r="26" spans="1:29" x14ac:dyDescent="0.35">
      <c r="A26" s="6" t="s">
        <v>25</v>
      </c>
      <c r="B26" s="10" t="s">
        <v>35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</row>
    <row r="27" spans="1:29" x14ac:dyDescent="0.35">
      <c r="B27" s="11"/>
      <c r="C27" s="20"/>
      <c r="D27" s="20"/>
      <c r="E27" s="20"/>
      <c r="F27" s="20"/>
      <c r="G27" s="20"/>
      <c r="H27" s="20"/>
      <c r="I27" s="20"/>
      <c r="J27" s="20"/>
      <c r="K27" s="20"/>
      <c r="L27" s="20"/>
    </row>
    <row r="28" spans="1:29" x14ac:dyDescent="0.35">
      <c r="B28" s="6" t="s">
        <v>1</v>
      </c>
      <c r="C28" s="26">
        <v>100</v>
      </c>
      <c r="D28" s="26">
        <v>115</v>
      </c>
      <c r="E28" s="26">
        <v>130</v>
      </c>
      <c r="F28" s="26">
        <v>145</v>
      </c>
      <c r="G28" s="26">
        <v>160</v>
      </c>
      <c r="H28" s="34">
        <f>+G28*(1+H9)</f>
        <v>176</v>
      </c>
      <c r="I28" s="34">
        <f t="shared" ref="I28:L28" si="5">+H28*(1+I9)</f>
        <v>191.84</v>
      </c>
      <c r="J28" s="34">
        <f t="shared" si="5"/>
        <v>207.18720000000002</v>
      </c>
      <c r="K28" s="34">
        <f t="shared" si="5"/>
        <v>221.69030400000003</v>
      </c>
      <c r="L28" s="34">
        <f t="shared" si="5"/>
        <v>234.99172224000003</v>
      </c>
    </row>
    <row r="29" spans="1:29" x14ac:dyDescent="0.35">
      <c r="B29" s="6" t="s">
        <v>2</v>
      </c>
      <c r="C29" s="26">
        <v>-30</v>
      </c>
      <c r="D29" s="26">
        <v>-33.4</v>
      </c>
      <c r="E29" s="26">
        <v>-36.4</v>
      </c>
      <c r="F29" s="26">
        <v>-39.200000000000003</v>
      </c>
      <c r="G29" s="26">
        <v>-41.6</v>
      </c>
      <c r="H29" s="34">
        <f>+H28*-H10</f>
        <v>-45.760000000000005</v>
      </c>
      <c r="I29" s="34">
        <f t="shared" ref="I29:L29" si="6">+I28*-I10</f>
        <v>-49.878399999999999</v>
      </c>
      <c r="J29" s="34">
        <f t="shared" si="6"/>
        <v>-53.868672000000004</v>
      </c>
      <c r="K29" s="34">
        <f t="shared" si="6"/>
        <v>-57.639479040000012</v>
      </c>
      <c r="L29" s="34">
        <f t="shared" si="6"/>
        <v>-61.097847782400009</v>
      </c>
    </row>
    <row r="30" spans="1:29" x14ac:dyDescent="0.35">
      <c r="B30" s="13" t="s">
        <v>3</v>
      </c>
      <c r="C30" s="25">
        <f t="shared" ref="C30" si="7">+C28+C29</f>
        <v>70</v>
      </c>
      <c r="D30" s="25">
        <f t="shared" ref="D30" si="8">+D28+D29</f>
        <v>81.599999999999994</v>
      </c>
      <c r="E30" s="25">
        <f t="shared" ref="E30" si="9">+E28+E29</f>
        <v>93.6</v>
      </c>
      <c r="F30" s="25">
        <f t="shared" ref="F30" si="10">+F28+F29</f>
        <v>105.8</v>
      </c>
      <c r="G30" s="25">
        <f t="shared" ref="G30" si="11">+G28+G29</f>
        <v>118.4</v>
      </c>
      <c r="H30" s="35">
        <f t="shared" ref="H30" si="12">+H28+H29</f>
        <v>130.24</v>
      </c>
      <c r="I30" s="35">
        <f t="shared" ref="I30:L30" si="13">+I28+I29</f>
        <v>141.9616</v>
      </c>
      <c r="J30" s="35">
        <f t="shared" si="13"/>
        <v>153.31852800000001</v>
      </c>
      <c r="K30" s="35">
        <f t="shared" si="13"/>
        <v>164.05082496</v>
      </c>
      <c r="L30" s="35">
        <f t="shared" si="13"/>
        <v>173.89387445760002</v>
      </c>
    </row>
    <row r="31" spans="1:29" x14ac:dyDescent="0.35">
      <c r="B31" s="6" t="s">
        <v>4</v>
      </c>
      <c r="C31" s="26">
        <v>-40</v>
      </c>
      <c r="D31" s="26">
        <v>-45</v>
      </c>
      <c r="E31" s="26">
        <v>-50</v>
      </c>
      <c r="F31" s="26">
        <v>-54</v>
      </c>
      <c r="G31" s="26">
        <v>-58</v>
      </c>
      <c r="H31" s="34">
        <f>+H28*-H11</f>
        <v>-61.599999999999994</v>
      </c>
      <c r="I31" s="34">
        <f t="shared" ref="I31:L31" si="14">+I28*-I11</f>
        <v>-66.184799999999996</v>
      </c>
      <c r="J31" s="34">
        <f t="shared" si="14"/>
        <v>-70.44364800000001</v>
      </c>
      <c r="K31" s="34">
        <f t="shared" si="14"/>
        <v>-75.374703360000012</v>
      </c>
      <c r="L31" s="34">
        <f t="shared" si="14"/>
        <v>-79.897185561600011</v>
      </c>
    </row>
    <row r="32" spans="1:29" x14ac:dyDescent="0.35">
      <c r="B32" s="13" t="s">
        <v>5</v>
      </c>
      <c r="C32" s="25">
        <f t="shared" ref="C32" si="15">+C30+C31</f>
        <v>30</v>
      </c>
      <c r="D32" s="25">
        <f t="shared" ref="D32" si="16">+D30+D31</f>
        <v>36.599999999999994</v>
      </c>
      <c r="E32" s="25">
        <f t="shared" ref="E32" si="17">+E30+E31</f>
        <v>43.599999999999994</v>
      </c>
      <c r="F32" s="25">
        <f t="shared" ref="F32" si="18">+F30+F31</f>
        <v>51.8</v>
      </c>
      <c r="G32" s="25">
        <f t="shared" ref="G32" si="19">+G30+G31</f>
        <v>60.400000000000006</v>
      </c>
      <c r="H32" s="35">
        <f t="shared" ref="H32" si="20">+H30+H31</f>
        <v>68.640000000000015</v>
      </c>
      <c r="I32" s="35">
        <f t="shared" ref="I32:L32" si="21">+I30+I31</f>
        <v>75.776800000000009</v>
      </c>
      <c r="J32" s="35">
        <f t="shared" si="21"/>
        <v>82.874880000000005</v>
      </c>
      <c r="K32" s="35">
        <f t="shared" si="21"/>
        <v>88.676121599999988</v>
      </c>
      <c r="L32" s="35">
        <f t="shared" si="21"/>
        <v>93.996688896000009</v>
      </c>
    </row>
    <row r="33" spans="1:29" x14ac:dyDescent="0.35">
      <c r="B33" s="6" t="s">
        <v>6</v>
      </c>
      <c r="C33" s="26">
        <v>-5</v>
      </c>
      <c r="D33" s="26">
        <v>-6</v>
      </c>
      <c r="E33" s="26">
        <v>-7</v>
      </c>
      <c r="F33" s="26">
        <v>-8</v>
      </c>
      <c r="G33" s="26">
        <v>-9</v>
      </c>
      <c r="H33" s="34">
        <f>+H12*H70</f>
        <v>-10.199999999999999</v>
      </c>
      <c r="I33" s="34">
        <f t="shared" ref="I33:L33" si="22">+I12*I70</f>
        <v>-10.199999999999999</v>
      </c>
      <c r="J33" s="34">
        <f t="shared" si="22"/>
        <v>-10.199999999999999</v>
      </c>
      <c r="K33" s="34">
        <f t="shared" si="22"/>
        <v>-10.199999999999999</v>
      </c>
      <c r="L33" s="34">
        <f t="shared" si="22"/>
        <v>-10.199999999999999</v>
      </c>
    </row>
    <row r="34" spans="1:29" x14ac:dyDescent="0.35">
      <c r="B34" s="13" t="s">
        <v>7</v>
      </c>
      <c r="C34" s="25">
        <f t="shared" ref="C34" si="23">+C32+C33</f>
        <v>25</v>
      </c>
      <c r="D34" s="25">
        <f t="shared" ref="D34" si="24">+D32+D33</f>
        <v>30.599999999999994</v>
      </c>
      <c r="E34" s="25">
        <f t="shared" ref="E34" si="25">+E32+E33</f>
        <v>36.599999999999994</v>
      </c>
      <c r="F34" s="25">
        <f t="shared" ref="F34" si="26">+F32+F33</f>
        <v>43.8</v>
      </c>
      <c r="G34" s="25">
        <f t="shared" ref="G34" si="27">+G32+G33</f>
        <v>51.400000000000006</v>
      </c>
      <c r="H34" s="35">
        <f t="shared" ref="H34" si="28">+H32+H33</f>
        <v>58.440000000000012</v>
      </c>
      <c r="I34" s="35">
        <f t="shared" ref="I34:L34" si="29">+I32+I33</f>
        <v>65.576800000000006</v>
      </c>
      <c r="J34" s="35">
        <f t="shared" si="29"/>
        <v>72.674880000000002</v>
      </c>
      <c r="K34" s="35">
        <f t="shared" si="29"/>
        <v>78.476121599999985</v>
      </c>
      <c r="L34" s="35">
        <f t="shared" si="29"/>
        <v>83.796688896000006</v>
      </c>
    </row>
    <row r="35" spans="1:29" x14ac:dyDescent="0.35">
      <c r="B35" s="6" t="s">
        <v>8</v>
      </c>
      <c r="C35" s="26">
        <v>-2</v>
      </c>
      <c r="D35" s="26">
        <v>-2</v>
      </c>
      <c r="E35" s="26">
        <v>-1.8</v>
      </c>
      <c r="F35" s="26">
        <v>-1.5</v>
      </c>
      <c r="G35" s="26">
        <v>-1.2</v>
      </c>
      <c r="H35" s="34">
        <f>+G51*-H21</f>
        <v>-1.2</v>
      </c>
      <c r="I35" s="34">
        <f t="shared" ref="I35:L35" si="30">+H51*-I21</f>
        <v>-0.89999999999999991</v>
      </c>
      <c r="J35" s="34">
        <f t="shared" si="30"/>
        <v>-0.6</v>
      </c>
      <c r="K35" s="34">
        <f t="shared" si="30"/>
        <v>-0.3</v>
      </c>
      <c r="L35" s="34">
        <f t="shared" si="30"/>
        <v>0</v>
      </c>
    </row>
    <row r="36" spans="1:29" s="12" customFormat="1" x14ac:dyDescent="0.35">
      <c r="B36" s="12" t="s">
        <v>9</v>
      </c>
      <c r="C36" s="27">
        <f t="shared" ref="C36" si="31">+C34+C35</f>
        <v>23</v>
      </c>
      <c r="D36" s="27">
        <f t="shared" ref="D36" si="32">+D34+D35</f>
        <v>28.599999999999994</v>
      </c>
      <c r="E36" s="27">
        <f t="shared" ref="E36" si="33">+E34+E35</f>
        <v>34.799999999999997</v>
      </c>
      <c r="F36" s="27">
        <f t="shared" ref="F36" si="34">+F34+F35</f>
        <v>42.3</v>
      </c>
      <c r="G36" s="27">
        <f t="shared" ref="G36" si="35">+G34+G35</f>
        <v>50.2</v>
      </c>
      <c r="H36" s="36">
        <f t="shared" ref="H36" si="36">+H34+H35</f>
        <v>57.240000000000009</v>
      </c>
      <c r="I36" s="36">
        <f t="shared" ref="I36:L36" si="37">+I34+I35</f>
        <v>64.6768</v>
      </c>
      <c r="J36" s="36">
        <f t="shared" si="37"/>
        <v>72.074880000000007</v>
      </c>
      <c r="K36" s="36">
        <f t="shared" si="37"/>
        <v>78.176121599999988</v>
      </c>
      <c r="L36" s="36">
        <f t="shared" si="37"/>
        <v>83.796688896000006</v>
      </c>
      <c r="P36" s="12" t="s">
        <v>211</v>
      </c>
      <c r="Q36" s="6">
        <v>2021</v>
      </c>
      <c r="R36" s="6">
        <v>2022</v>
      </c>
      <c r="S36" s="6">
        <f>+R36+1</f>
        <v>2023</v>
      </c>
      <c r="T36" s="6">
        <f t="shared" ref="T36:Z36" si="38">+S36+1</f>
        <v>2024</v>
      </c>
      <c r="U36" s="6">
        <f t="shared" si="38"/>
        <v>2025</v>
      </c>
      <c r="V36" s="6">
        <f t="shared" si="38"/>
        <v>2026</v>
      </c>
      <c r="W36" s="6">
        <f t="shared" si="38"/>
        <v>2027</v>
      </c>
      <c r="X36" s="6">
        <f t="shared" si="38"/>
        <v>2028</v>
      </c>
      <c r="Y36" s="6">
        <f t="shared" si="38"/>
        <v>2029</v>
      </c>
      <c r="Z36" s="6">
        <f t="shared" si="38"/>
        <v>2030</v>
      </c>
      <c r="AA36" s="6"/>
      <c r="AB36" s="6"/>
      <c r="AC36" s="6"/>
    </row>
    <row r="37" spans="1:29" x14ac:dyDescent="0.35">
      <c r="B37" s="6" t="s">
        <v>118</v>
      </c>
      <c r="C37" s="26">
        <v>-5.75</v>
      </c>
      <c r="D37" s="26">
        <v>-7.15</v>
      </c>
      <c r="E37" s="26">
        <v>-8.6999999999999993</v>
      </c>
      <c r="F37" s="26">
        <v>-10.58</v>
      </c>
      <c r="G37" s="26">
        <v>-12.55</v>
      </c>
      <c r="H37" s="34">
        <f>+H36*-H13</f>
        <v>-14.310000000000002</v>
      </c>
      <c r="I37" s="34">
        <f t="shared" ref="I37:L37" si="39">+I36*-I13</f>
        <v>-16.1692</v>
      </c>
      <c r="J37" s="34">
        <f t="shared" si="39"/>
        <v>-18.018720000000002</v>
      </c>
      <c r="K37" s="34">
        <f t="shared" si="39"/>
        <v>-19.544030399999997</v>
      </c>
      <c r="L37" s="34">
        <f t="shared" si="39"/>
        <v>-20.949172224000002</v>
      </c>
      <c r="P37" s="12" t="s">
        <v>207</v>
      </c>
      <c r="Q37" s="40" t="s">
        <v>52</v>
      </c>
      <c r="R37" s="31">
        <f t="shared" ref="R37:Z37" si="40">+D67</f>
        <v>26.049999999999997</v>
      </c>
      <c r="S37" s="31">
        <f t="shared" si="40"/>
        <v>31.700000000000003</v>
      </c>
      <c r="T37" s="31">
        <f t="shared" si="40"/>
        <v>38.32</v>
      </c>
      <c r="U37" s="31">
        <f t="shared" si="40"/>
        <v>45.25</v>
      </c>
      <c r="V37" s="31">
        <f t="shared" si="40"/>
        <v>51.672049315068506</v>
      </c>
      <c r="W37" s="31">
        <f t="shared" si="40"/>
        <v>57.262384438356165</v>
      </c>
      <c r="X37" s="31">
        <f t="shared" si="40"/>
        <v>62.855906700273977</v>
      </c>
      <c r="Y37" s="31">
        <f t="shared" si="40"/>
        <v>67.508851831758903</v>
      </c>
      <c r="Z37" s="31">
        <f t="shared" si="40"/>
        <v>71.833917137127443</v>
      </c>
      <c r="AA37" s="31"/>
      <c r="AB37" s="12"/>
      <c r="AC37" s="12"/>
    </row>
    <row r="38" spans="1:29" x14ac:dyDescent="0.35">
      <c r="B38" s="13" t="s">
        <v>10</v>
      </c>
      <c r="C38" s="25">
        <f t="shared" ref="C38" si="41">+C36+C37</f>
        <v>17.25</v>
      </c>
      <c r="D38" s="25">
        <f t="shared" ref="D38" si="42">+D36+D37</f>
        <v>21.449999999999996</v>
      </c>
      <c r="E38" s="25">
        <f t="shared" ref="E38" si="43">+E36+E37</f>
        <v>26.099999999999998</v>
      </c>
      <c r="F38" s="25">
        <f t="shared" ref="F38" si="44">+F36+F37</f>
        <v>31.72</v>
      </c>
      <c r="G38" s="25">
        <f t="shared" ref="G38" si="45">+G36+G37</f>
        <v>37.650000000000006</v>
      </c>
      <c r="H38" s="35">
        <f t="shared" ref="H38" si="46">+H36+H37</f>
        <v>42.930000000000007</v>
      </c>
      <c r="I38" s="35">
        <f t="shared" ref="I38:L38" si="47">+I36+I37</f>
        <v>48.507599999999996</v>
      </c>
      <c r="J38" s="35">
        <f t="shared" si="47"/>
        <v>54.056160000000006</v>
      </c>
      <c r="K38" s="35">
        <f t="shared" si="47"/>
        <v>58.632091199999991</v>
      </c>
      <c r="L38" s="35">
        <f t="shared" si="47"/>
        <v>62.847516672000005</v>
      </c>
      <c r="P38" s="12" t="s">
        <v>208</v>
      </c>
      <c r="Q38" s="40" t="s">
        <v>52</v>
      </c>
      <c r="R38" s="31">
        <f t="shared" ref="R38:Z38" si="48">+D71</f>
        <v>-10</v>
      </c>
      <c r="S38" s="31">
        <f t="shared" si="48"/>
        <v>-10</v>
      </c>
      <c r="T38" s="31">
        <f t="shared" si="48"/>
        <v>-10</v>
      </c>
      <c r="U38" s="31">
        <f t="shared" si="48"/>
        <v>-10</v>
      </c>
      <c r="V38" s="31">
        <f t="shared" si="48"/>
        <v>-12</v>
      </c>
      <c r="W38" s="31">
        <f t="shared" si="48"/>
        <v>-12</v>
      </c>
      <c r="X38" s="31">
        <f t="shared" si="48"/>
        <v>-12</v>
      </c>
      <c r="Y38" s="31">
        <f t="shared" si="48"/>
        <v>-12</v>
      </c>
      <c r="Z38" s="31">
        <f t="shared" si="48"/>
        <v>-12</v>
      </c>
      <c r="AA38" s="31"/>
    </row>
    <row r="39" spans="1:29" x14ac:dyDescent="0.35">
      <c r="C39" s="26"/>
      <c r="D39" s="26"/>
      <c r="E39" s="26"/>
      <c r="F39" s="26"/>
      <c r="G39" s="26"/>
      <c r="H39" s="34"/>
      <c r="I39" s="34"/>
      <c r="J39" s="34"/>
      <c r="K39" s="34"/>
      <c r="L39" s="34"/>
      <c r="P39" s="12" t="s">
        <v>209</v>
      </c>
      <c r="Q39" s="40" t="s">
        <v>52</v>
      </c>
      <c r="R39" s="31">
        <f t="shared" ref="R39:Z39" si="49">+D76</f>
        <v>-5</v>
      </c>
      <c r="S39" s="31">
        <f t="shared" si="49"/>
        <v>-5</v>
      </c>
      <c r="T39" s="31">
        <f t="shared" si="49"/>
        <v>-5</v>
      </c>
      <c r="U39" s="31">
        <f t="shared" si="49"/>
        <v>-5</v>
      </c>
      <c r="V39" s="31">
        <f t="shared" si="49"/>
        <v>-5</v>
      </c>
      <c r="W39" s="31">
        <f t="shared" si="49"/>
        <v>-5</v>
      </c>
      <c r="X39" s="31">
        <f t="shared" si="49"/>
        <v>-5</v>
      </c>
      <c r="Y39" s="31">
        <f t="shared" si="49"/>
        <v>-5</v>
      </c>
      <c r="Z39" s="31">
        <f t="shared" si="49"/>
        <v>0</v>
      </c>
      <c r="AA39" s="31"/>
    </row>
    <row r="40" spans="1:29" x14ac:dyDescent="0.35">
      <c r="A40" s="6" t="s">
        <v>25</v>
      </c>
      <c r="B40" s="10" t="s">
        <v>49</v>
      </c>
      <c r="C40" s="28"/>
      <c r="D40" s="28"/>
      <c r="E40" s="28"/>
      <c r="F40" s="28"/>
      <c r="G40" s="28"/>
      <c r="H40" s="37"/>
      <c r="I40" s="37"/>
      <c r="J40" s="37"/>
      <c r="K40" s="37"/>
      <c r="L40" s="37"/>
    </row>
    <row r="41" spans="1:29" x14ac:dyDescent="0.35">
      <c r="B41" s="11"/>
      <c r="C41" s="29"/>
      <c r="D41" s="29"/>
      <c r="E41" s="29"/>
      <c r="F41" s="29"/>
      <c r="G41" s="29"/>
      <c r="H41" s="36"/>
      <c r="I41" s="36"/>
      <c r="J41" s="36"/>
      <c r="K41" s="36"/>
      <c r="L41" s="36"/>
    </row>
    <row r="42" spans="1:29" x14ac:dyDescent="0.35">
      <c r="B42" s="6" t="s">
        <v>11</v>
      </c>
      <c r="C42" s="26"/>
      <c r="D42" s="26"/>
      <c r="E42" s="26"/>
      <c r="F42" s="26"/>
      <c r="G42" s="26"/>
      <c r="H42" s="34"/>
      <c r="I42" s="34"/>
      <c r="J42" s="34"/>
      <c r="K42" s="34"/>
      <c r="L42" s="34"/>
    </row>
    <row r="43" spans="1:29" x14ac:dyDescent="0.35">
      <c r="B43" s="6" t="s">
        <v>12</v>
      </c>
      <c r="C43" s="26">
        <v>15</v>
      </c>
      <c r="D43" s="26">
        <v>26.05</v>
      </c>
      <c r="E43" s="26">
        <v>42.75</v>
      </c>
      <c r="F43" s="26">
        <v>66.069999999999993</v>
      </c>
      <c r="G43" s="26">
        <v>96.32</v>
      </c>
      <c r="H43" s="34">
        <f>+H81</f>
        <v>130.9920493150685</v>
      </c>
      <c r="I43" s="34">
        <f t="shared" ref="I43:L43" si="50">+I81</f>
        <v>171.25443375342468</v>
      </c>
      <c r="J43" s="34">
        <f t="shared" si="50"/>
        <v>217.11034045369865</v>
      </c>
      <c r="K43" s="34">
        <f t="shared" si="50"/>
        <v>267.61919228545753</v>
      </c>
      <c r="L43" s="34">
        <f t="shared" si="50"/>
        <v>327.45310942258499</v>
      </c>
    </row>
    <row r="44" spans="1:29" x14ac:dyDescent="0.35">
      <c r="B44" s="6" t="s">
        <v>13</v>
      </c>
      <c r="C44" s="26">
        <v>10</v>
      </c>
      <c r="D44" s="26">
        <v>11.5</v>
      </c>
      <c r="E44" s="26">
        <v>13</v>
      </c>
      <c r="F44" s="26">
        <v>14.5</v>
      </c>
      <c r="G44" s="26">
        <v>16</v>
      </c>
      <c r="H44" s="34">
        <f t="shared" ref="H44:H45" si="51">+ABS(H28*H15)/365</f>
        <v>17.600000000000001</v>
      </c>
      <c r="I44" s="34">
        <f t="shared" ref="I44:L44" si="52">+ABS(I28*I15)/365</f>
        <v>19.184000000000001</v>
      </c>
      <c r="J44" s="34">
        <f t="shared" si="52"/>
        <v>20.718720000000001</v>
      </c>
      <c r="K44" s="34">
        <f t="shared" si="52"/>
        <v>22.1690304</v>
      </c>
      <c r="L44" s="34">
        <f t="shared" si="52"/>
        <v>23.499172224000006</v>
      </c>
    </row>
    <row r="45" spans="1:29" x14ac:dyDescent="0.35">
      <c r="B45" s="6" t="s">
        <v>14</v>
      </c>
      <c r="C45" s="26">
        <v>5</v>
      </c>
      <c r="D45" s="26">
        <v>5.6</v>
      </c>
      <c r="E45" s="26">
        <v>6.1</v>
      </c>
      <c r="F45" s="26">
        <v>6.5</v>
      </c>
      <c r="G45" s="26">
        <v>6.9</v>
      </c>
      <c r="H45" s="34">
        <f t="shared" si="51"/>
        <v>7.5848767123287688</v>
      </c>
      <c r="I45" s="34">
        <f t="shared" ref="I45:L45" si="53">+ABS(I29*I16)/365</f>
        <v>8.2675156164383559</v>
      </c>
      <c r="J45" s="34">
        <f t="shared" si="53"/>
        <v>8.9289168657534255</v>
      </c>
      <c r="K45" s="34">
        <f t="shared" si="53"/>
        <v>9.5539410463561669</v>
      </c>
      <c r="L45" s="34">
        <f t="shared" si="53"/>
        <v>10.127177509137537</v>
      </c>
    </row>
    <row r="46" spans="1:29" x14ac:dyDescent="0.35">
      <c r="B46" s="6" t="s">
        <v>15</v>
      </c>
      <c r="C46" s="26">
        <v>40</v>
      </c>
      <c r="D46" s="26">
        <v>44</v>
      </c>
      <c r="E46" s="26">
        <v>47</v>
      </c>
      <c r="F46" s="26">
        <v>49</v>
      </c>
      <c r="G46" s="26">
        <v>50</v>
      </c>
      <c r="H46" s="34">
        <f>+G46+$N$46+H33</f>
        <v>51.8</v>
      </c>
      <c r="I46" s="34">
        <f t="shared" ref="I46:L46" si="54">+H46+$N$46+I33</f>
        <v>53.599999999999994</v>
      </c>
      <c r="J46" s="34">
        <f t="shared" si="54"/>
        <v>55.399999999999991</v>
      </c>
      <c r="K46" s="34">
        <f t="shared" si="54"/>
        <v>57.199999999999989</v>
      </c>
      <c r="L46" s="34">
        <f t="shared" si="54"/>
        <v>58.999999999999986</v>
      </c>
      <c r="M46" s="12" t="s">
        <v>73</v>
      </c>
      <c r="N46" s="14">
        <v>12</v>
      </c>
    </row>
    <row r="47" spans="1:29" x14ac:dyDescent="0.35">
      <c r="B47" s="13" t="s">
        <v>16</v>
      </c>
      <c r="C47" s="25">
        <f>SUM(C43:C46)</f>
        <v>70</v>
      </c>
      <c r="D47" s="25">
        <f t="shared" ref="D47:H47" si="55">SUM(D43:D46)</f>
        <v>87.15</v>
      </c>
      <c r="E47" s="25">
        <f t="shared" si="55"/>
        <v>108.85</v>
      </c>
      <c r="F47" s="25">
        <f t="shared" si="55"/>
        <v>136.07</v>
      </c>
      <c r="G47" s="25">
        <f t="shared" si="55"/>
        <v>169.22</v>
      </c>
      <c r="H47" s="35">
        <f t="shared" si="55"/>
        <v>207.97692602739727</v>
      </c>
      <c r="I47" s="35">
        <f t="shared" ref="I47:L47" si="56">SUM(I43:I46)</f>
        <v>252.30594936986301</v>
      </c>
      <c r="J47" s="35">
        <f t="shared" si="56"/>
        <v>302.15797731945207</v>
      </c>
      <c r="K47" s="35">
        <f t="shared" si="56"/>
        <v>356.54216373181367</v>
      </c>
      <c r="L47" s="35">
        <f t="shared" si="56"/>
        <v>420.07945915572253</v>
      </c>
    </row>
    <row r="48" spans="1:29" x14ac:dyDescent="0.35">
      <c r="B48" s="12"/>
      <c r="C48" s="26"/>
      <c r="D48" s="26"/>
      <c r="E48" s="26"/>
      <c r="F48" s="26"/>
      <c r="G48" s="26"/>
      <c r="H48" s="34"/>
      <c r="I48" s="34"/>
      <c r="J48" s="34"/>
      <c r="K48" s="34"/>
      <c r="L48" s="34"/>
    </row>
    <row r="49" spans="1:14" x14ac:dyDescent="0.35">
      <c r="B49" s="6" t="s">
        <v>17</v>
      </c>
      <c r="C49" s="26"/>
      <c r="D49" s="26"/>
      <c r="E49" s="26"/>
      <c r="F49" s="26"/>
      <c r="G49" s="26"/>
      <c r="H49" s="34"/>
      <c r="I49" s="34"/>
      <c r="J49" s="34"/>
      <c r="K49" s="34"/>
      <c r="L49" s="34"/>
    </row>
    <row r="50" spans="1:14" x14ac:dyDescent="0.35">
      <c r="B50" s="6" t="s">
        <v>18</v>
      </c>
      <c r="C50" s="26">
        <v>6</v>
      </c>
      <c r="D50" s="26">
        <v>6.7</v>
      </c>
      <c r="E50" s="26">
        <v>7.3</v>
      </c>
      <c r="F50" s="26">
        <v>7.8</v>
      </c>
      <c r="G50" s="26">
        <v>8.3000000000000007</v>
      </c>
      <c r="H50" s="34">
        <f>+ABS(H29*H17)/365</f>
        <v>9.1269260273972623</v>
      </c>
      <c r="I50" s="34">
        <f t="shared" ref="I50:L50" si="57">+ABS(I29*I17)/365</f>
        <v>9.9483493698630134</v>
      </c>
      <c r="J50" s="34">
        <f t="shared" si="57"/>
        <v>10.744217319452055</v>
      </c>
      <c r="K50" s="34">
        <f t="shared" si="57"/>
        <v>11.4963125318137</v>
      </c>
      <c r="L50" s="34">
        <f t="shared" si="57"/>
        <v>12.186091283722522</v>
      </c>
    </row>
    <row r="51" spans="1:14" x14ac:dyDescent="0.35">
      <c r="B51" s="6" t="s">
        <v>19</v>
      </c>
      <c r="C51" s="26">
        <v>40</v>
      </c>
      <c r="D51" s="26">
        <v>35</v>
      </c>
      <c r="E51" s="26">
        <v>30</v>
      </c>
      <c r="F51" s="26">
        <v>25</v>
      </c>
      <c r="G51" s="26">
        <v>20</v>
      </c>
      <c r="H51" s="34">
        <f>+G51+H20</f>
        <v>15</v>
      </c>
      <c r="I51" s="34">
        <f t="shared" ref="I51:L51" si="58">+H51+I20</f>
        <v>10</v>
      </c>
      <c r="J51" s="34">
        <f t="shared" si="58"/>
        <v>5</v>
      </c>
      <c r="K51" s="34">
        <f t="shared" si="58"/>
        <v>0</v>
      </c>
      <c r="L51" s="34">
        <f t="shared" si="58"/>
        <v>0</v>
      </c>
    </row>
    <row r="52" spans="1:14" x14ac:dyDescent="0.35">
      <c r="B52" s="13" t="s">
        <v>20</v>
      </c>
      <c r="C52" s="25">
        <f>SUM(C50:C51)</f>
        <v>46</v>
      </c>
      <c r="D52" s="25">
        <f t="shared" ref="D52:H52" si="59">SUM(D50:D51)</f>
        <v>41.7</v>
      </c>
      <c r="E52" s="25">
        <f t="shared" si="59"/>
        <v>37.299999999999997</v>
      </c>
      <c r="F52" s="25">
        <f t="shared" si="59"/>
        <v>32.799999999999997</v>
      </c>
      <c r="G52" s="25">
        <f t="shared" si="59"/>
        <v>28.3</v>
      </c>
      <c r="H52" s="35">
        <f t="shared" si="59"/>
        <v>24.126926027397261</v>
      </c>
      <c r="I52" s="35">
        <f t="shared" ref="I52:L52" si="60">SUM(I50:I51)</f>
        <v>19.948349369863013</v>
      </c>
      <c r="J52" s="35">
        <f t="shared" si="60"/>
        <v>15.744217319452055</v>
      </c>
      <c r="K52" s="35">
        <f t="shared" si="60"/>
        <v>11.4963125318137</v>
      </c>
      <c r="L52" s="35">
        <f t="shared" si="60"/>
        <v>12.186091283722522</v>
      </c>
    </row>
    <row r="53" spans="1:14" x14ac:dyDescent="0.35">
      <c r="B53" s="12"/>
      <c r="C53" s="27"/>
      <c r="D53" s="27"/>
      <c r="E53" s="27"/>
      <c r="F53" s="27"/>
      <c r="G53" s="27"/>
      <c r="H53" s="36"/>
      <c r="I53" s="36"/>
      <c r="J53" s="36"/>
      <c r="K53" s="36"/>
      <c r="L53" s="36"/>
    </row>
    <row r="54" spans="1:14" x14ac:dyDescent="0.35">
      <c r="B54" s="6" t="s">
        <v>21</v>
      </c>
      <c r="C54" s="26">
        <v>10</v>
      </c>
      <c r="D54" s="26">
        <v>10</v>
      </c>
      <c r="E54" s="26">
        <v>10</v>
      </c>
      <c r="F54" s="26">
        <v>10</v>
      </c>
      <c r="G54" s="26">
        <v>10</v>
      </c>
      <c r="H54" s="34">
        <f>+G54*(1+H24)</f>
        <v>10</v>
      </c>
      <c r="I54" s="34">
        <f t="shared" ref="I54:L54" si="61">+H54*(1+I24)</f>
        <v>10</v>
      </c>
      <c r="J54" s="34">
        <f t="shared" si="61"/>
        <v>10</v>
      </c>
      <c r="K54" s="34">
        <f t="shared" si="61"/>
        <v>10</v>
      </c>
      <c r="L54" s="34">
        <f t="shared" si="61"/>
        <v>10</v>
      </c>
    </row>
    <row r="55" spans="1:14" x14ac:dyDescent="0.35">
      <c r="B55" s="6" t="s">
        <v>22</v>
      </c>
      <c r="C55" s="26">
        <v>14</v>
      </c>
      <c r="D55" s="26">
        <f>+C55+D38</f>
        <v>35.449999999999996</v>
      </c>
      <c r="E55" s="26">
        <f t="shared" ref="E55:H55" si="62">+D55+E38</f>
        <v>61.55</v>
      </c>
      <c r="F55" s="26">
        <f t="shared" si="62"/>
        <v>93.27</v>
      </c>
      <c r="G55" s="26">
        <f t="shared" si="62"/>
        <v>130.92000000000002</v>
      </c>
      <c r="H55" s="34">
        <f t="shared" si="62"/>
        <v>173.85000000000002</v>
      </c>
      <c r="I55" s="34">
        <f t="shared" ref="I55" si="63">+H55+I38</f>
        <v>222.35760000000002</v>
      </c>
      <c r="J55" s="34">
        <f t="shared" ref="J55" si="64">+I55+J38</f>
        <v>276.41376000000002</v>
      </c>
      <c r="K55" s="34">
        <f t="shared" ref="K55" si="65">+J55+K38</f>
        <v>335.04585120000002</v>
      </c>
      <c r="L55" s="34">
        <f t="shared" ref="L55" si="66">+K55+L38</f>
        <v>397.893367872</v>
      </c>
    </row>
    <row r="56" spans="1:14" x14ac:dyDescent="0.35">
      <c r="B56" s="13" t="s">
        <v>23</v>
      </c>
      <c r="C56" s="25">
        <f>SUM(C54:C55)</f>
        <v>24</v>
      </c>
      <c r="D56" s="25">
        <f t="shared" ref="D56:H56" si="67">SUM(D54:D55)</f>
        <v>45.449999999999996</v>
      </c>
      <c r="E56" s="25">
        <f t="shared" si="67"/>
        <v>71.55</v>
      </c>
      <c r="F56" s="25">
        <f t="shared" si="67"/>
        <v>103.27</v>
      </c>
      <c r="G56" s="25">
        <f t="shared" si="67"/>
        <v>140.92000000000002</v>
      </c>
      <c r="H56" s="35">
        <f t="shared" si="67"/>
        <v>183.85000000000002</v>
      </c>
      <c r="I56" s="35">
        <f t="shared" ref="I56:L56" si="68">SUM(I54:I55)</f>
        <v>232.35760000000002</v>
      </c>
      <c r="J56" s="35">
        <f t="shared" si="68"/>
        <v>286.41376000000002</v>
      </c>
      <c r="K56" s="35">
        <f t="shared" si="68"/>
        <v>345.04585120000002</v>
      </c>
      <c r="L56" s="35">
        <f t="shared" si="68"/>
        <v>407.893367872</v>
      </c>
    </row>
    <row r="57" spans="1:14" x14ac:dyDescent="0.35">
      <c r="B57" s="12"/>
      <c r="C57" s="27"/>
      <c r="D57" s="27"/>
      <c r="E57" s="27"/>
      <c r="F57" s="27"/>
      <c r="G57" s="27"/>
      <c r="H57" s="36"/>
      <c r="I57" s="36"/>
      <c r="J57" s="36"/>
      <c r="K57" s="36"/>
      <c r="L57" s="36"/>
    </row>
    <row r="58" spans="1:14" x14ac:dyDescent="0.35">
      <c r="B58" s="13" t="s">
        <v>198</v>
      </c>
      <c r="C58" s="25">
        <f>+C56+C52</f>
        <v>70</v>
      </c>
      <c r="D58" s="25">
        <f t="shared" ref="D58:H58" si="69">+D56+D52</f>
        <v>87.15</v>
      </c>
      <c r="E58" s="25">
        <f t="shared" si="69"/>
        <v>108.85</v>
      </c>
      <c r="F58" s="25">
        <f t="shared" si="69"/>
        <v>136.07</v>
      </c>
      <c r="G58" s="25">
        <f t="shared" si="69"/>
        <v>169.22000000000003</v>
      </c>
      <c r="H58" s="35">
        <f t="shared" si="69"/>
        <v>207.97692602739727</v>
      </c>
      <c r="I58" s="35">
        <f t="shared" ref="I58:L58" si="70">+I56+I52</f>
        <v>252.30594936986304</v>
      </c>
      <c r="J58" s="35">
        <f t="shared" si="70"/>
        <v>302.15797731945207</v>
      </c>
      <c r="K58" s="35">
        <f t="shared" si="70"/>
        <v>356.54216373181373</v>
      </c>
      <c r="L58" s="35">
        <f t="shared" si="70"/>
        <v>420.07945915572253</v>
      </c>
      <c r="M58" s="31"/>
      <c r="N58" s="73"/>
    </row>
    <row r="59" spans="1:14" x14ac:dyDescent="0.35">
      <c r="B59" s="12" t="s">
        <v>65</v>
      </c>
      <c r="C59" s="27" t="b">
        <f>+C58=C47</f>
        <v>1</v>
      </c>
      <c r="D59" s="27" t="b">
        <f t="shared" ref="D59:H59" si="71">+D58=D47</f>
        <v>1</v>
      </c>
      <c r="E59" s="27" t="b">
        <f t="shared" si="71"/>
        <v>1</v>
      </c>
      <c r="F59" s="27" t="b">
        <f t="shared" si="71"/>
        <v>1</v>
      </c>
      <c r="G59" s="27" t="b">
        <f t="shared" si="71"/>
        <v>1</v>
      </c>
      <c r="H59" s="36" t="b">
        <f t="shared" si="71"/>
        <v>1</v>
      </c>
      <c r="I59" s="36" t="b">
        <f t="shared" ref="I59:L59" si="72">+I58=I47</f>
        <v>1</v>
      </c>
      <c r="J59" s="36" t="b">
        <f t="shared" si="72"/>
        <v>1</v>
      </c>
      <c r="K59" s="36" t="b">
        <f t="shared" si="72"/>
        <v>1</v>
      </c>
      <c r="L59" s="36" t="b">
        <f t="shared" si="72"/>
        <v>1</v>
      </c>
    </row>
    <row r="60" spans="1:14" x14ac:dyDescent="0.35">
      <c r="C60" s="26"/>
      <c r="D60" s="26"/>
      <c r="E60" s="26"/>
      <c r="F60" s="26"/>
      <c r="G60" s="26"/>
      <c r="H60" s="34"/>
      <c r="I60" s="34"/>
      <c r="J60" s="34"/>
      <c r="K60" s="34"/>
      <c r="L60" s="34"/>
    </row>
    <row r="61" spans="1:14" x14ac:dyDescent="0.35">
      <c r="A61" s="6" t="s">
        <v>25</v>
      </c>
      <c r="B61" s="10" t="s">
        <v>48</v>
      </c>
      <c r="C61" s="28"/>
      <c r="D61" s="28"/>
      <c r="E61" s="28"/>
      <c r="F61" s="28"/>
      <c r="G61" s="28"/>
      <c r="H61" s="37"/>
      <c r="I61" s="37"/>
      <c r="J61" s="37"/>
      <c r="K61" s="37"/>
      <c r="L61" s="37"/>
    </row>
    <row r="62" spans="1:14" x14ac:dyDescent="0.35">
      <c r="B62" s="11"/>
      <c r="C62" s="29"/>
      <c r="D62" s="29"/>
      <c r="E62" s="29"/>
      <c r="F62" s="29"/>
      <c r="G62" s="29"/>
      <c r="H62" s="36"/>
      <c r="I62" s="36"/>
      <c r="J62" s="36"/>
      <c r="K62" s="36"/>
      <c r="L62" s="36"/>
    </row>
    <row r="63" spans="1:14" x14ac:dyDescent="0.35">
      <c r="B63" s="11" t="s">
        <v>200</v>
      </c>
      <c r="C63" s="29"/>
      <c r="D63" s="29"/>
      <c r="E63" s="29"/>
      <c r="F63" s="29"/>
      <c r="G63" s="29"/>
      <c r="H63" s="36"/>
      <c r="I63" s="36"/>
      <c r="J63" s="36"/>
      <c r="K63" s="36"/>
      <c r="L63" s="36"/>
    </row>
    <row r="64" spans="1:14" x14ac:dyDescent="0.35">
      <c r="B64" s="21" t="s">
        <v>26</v>
      </c>
      <c r="C64" s="6" t="s">
        <v>52</v>
      </c>
      <c r="D64" s="32">
        <v>21.45</v>
      </c>
      <c r="E64" s="32">
        <v>26.1</v>
      </c>
      <c r="F64" s="32">
        <v>31.72</v>
      </c>
      <c r="G64" s="32">
        <v>37.65</v>
      </c>
      <c r="H64" s="34">
        <f>+H38</f>
        <v>42.930000000000007</v>
      </c>
      <c r="I64" s="34">
        <f t="shared" ref="I64:L64" si="73">+I38</f>
        <v>48.507599999999996</v>
      </c>
      <c r="J64" s="34">
        <f t="shared" si="73"/>
        <v>54.056160000000006</v>
      </c>
      <c r="K64" s="34">
        <f t="shared" si="73"/>
        <v>58.632091199999991</v>
      </c>
      <c r="L64" s="34">
        <f t="shared" si="73"/>
        <v>62.847516672000005</v>
      </c>
    </row>
    <row r="65" spans="2:34" x14ac:dyDescent="0.35">
      <c r="B65" s="21" t="s">
        <v>27</v>
      </c>
      <c r="C65" s="6" t="s">
        <v>52</v>
      </c>
      <c r="D65" s="32">
        <v>6</v>
      </c>
      <c r="E65" s="32">
        <v>7</v>
      </c>
      <c r="F65" s="32">
        <v>8</v>
      </c>
      <c r="G65" s="32">
        <v>9</v>
      </c>
      <c r="H65" s="34">
        <f>-H33</f>
        <v>10.199999999999999</v>
      </c>
      <c r="I65" s="34">
        <f t="shared" ref="I65:L65" si="74">-I33</f>
        <v>10.199999999999999</v>
      </c>
      <c r="J65" s="34">
        <f t="shared" si="74"/>
        <v>10.199999999999999</v>
      </c>
      <c r="K65" s="34">
        <f t="shared" si="74"/>
        <v>10.199999999999999</v>
      </c>
      <c r="L65" s="34">
        <f t="shared" si="74"/>
        <v>10.199999999999999</v>
      </c>
    </row>
    <row r="66" spans="2:34" x14ac:dyDescent="0.35">
      <c r="B66" s="21" t="s">
        <v>67</v>
      </c>
      <c r="C66" s="6" t="s">
        <v>52</v>
      </c>
      <c r="D66" s="32">
        <f>-D87</f>
        <v>-1.4000000000000021</v>
      </c>
      <c r="E66" s="32">
        <f t="shared" ref="E66:H66" si="75">-E87</f>
        <v>-1.3999999999999986</v>
      </c>
      <c r="F66" s="32">
        <f t="shared" si="75"/>
        <v>-1.3999999999999986</v>
      </c>
      <c r="G66" s="32">
        <f t="shared" si="75"/>
        <v>-1.3999999999999986</v>
      </c>
      <c r="H66" s="34">
        <f t="shared" si="75"/>
        <v>-1.4579506849315074</v>
      </c>
      <c r="I66" s="34">
        <f t="shared" ref="I66:L66" si="76">-I87</f>
        <v>-1.4452155616438382</v>
      </c>
      <c r="J66" s="34">
        <f t="shared" si="76"/>
        <v>-1.4002532997260282</v>
      </c>
      <c r="K66" s="34">
        <f t="shared" si="76"/>
        <v>-1.3232393682410972</v>
      </c>
      <c r="L66" s="34">
        <f t="shared" si="76"/>
        <v>-1.2135995348725537</v>
      </c>
    </row>
    <row r="67" spans="2:34" x14ac:dyDescent="0.35">
      <c r="B67" s="13" t="s">
        <v>187</v>
      </c>
      <c r="C67" s="33"/>
      <c r="D67" s="25">
        <f>SUM(D64:D66)</f>
        <v>26.049999999999997</v>
      </c>
      <c r="E67" s="25">
        <f>SUM(E64:E66)</f>
        <v>31.700000000000003</v>
      </c>
      <c r="F67" s="25">
        <f>SUM(F64:F66)</f>
        <v>38.32</v>
      </c>
      <c r="G67" s="25">
        <f>SUM(G64:G66)</f>
        <v>45.25</v>
      </c>
      <c r="H67" s="35">
        <f t="shared" ref="H67:L67" si="77">SUM(H64:H66)</f>
        <v>51.672049315068506</v>
      </c>
      <c r="I67" s="35">
        <f t="shared" si="77"/>
        <v>57.262384438356165</v>
      </c>
      <c r="J67" s="35">
        <f t="shared" si="77"/>
        <v>62.855906700273977</v>
      </c>
      <c r="K67" s="35">
        <f t="shared" si="77"/>
        <v>67.508851831758903</v>
      </c>
      <c r="L67" s="35">
        <f t="shared" si="77"/>
        <v>71.833917137127443</v>
      </c>
    </row>
    <row r="68" spans="2:34" x14ac:dyDescent="0.35">
      <c r="B68" s="12"/>
      <c r="C68" s="6"/>
      <c r="D68" s="27"/>
      <c r="E68" s="27"/>
      <c r="F68" s="27"/>
      <c r="G68" s="27"/>
      <c r="H68" s="36"/>
      <c r="I68" s="36"/>
      <c r="J68" s="36"/>
      <c r="K68" s="36"/>
      <c r="L68" s="36"/>
      <c r="AH68" s="6" t="s">
        <v>212</v>
      </c>
    </row>
    <row r="69" spans="2:34" x14ac:dyDescent="0.35">
      <c r="B69" s="12" t="s">
        <v>201</v>
      </c>
      <c r="C69" s="6"/>
      <c r="D69" s="27"/>
      <c r="E69" s="27"/>
      <c r="F69" s="27"/>
      <c r="G69" s="27"/>
      <c r="H69" s="36"/>
      <c r="I69" s="36"/>
      <c r="J69" s="36"/>
      <c r="K69" s="36"/>
      <c r="L69" s="36"/>
    </row>
    <row r="70" spans="2:34" x14ac:dyDescent="0.35">
      <c r="B70" s="21" t="s">
        <v>72</v>
      </c>
      <c r="C70" s="6" t="s">
        <v>52</v>
      </c>
      <c r="D70" s="32">
        <v>-10</v>
      </c>
      <c r="E70" s="32">
        <v>-10</v>
      </c>
      <c r="F70" s="32">
        <v>-10</v>
      </c>
      <c r="G70" s="32">
        <v>-10</v>
      </c>
      <c r="H70" s="36">
        <f>-$N$46</f>
        <v>-12</v>
      </c>
      <c r="I70" s="36">
        <f t="shared" ref="I70:L70" si="78">-$N$46</f>
        <v>-12</v>
      </c>
      <c r="J70" s="36">
        <f t="shared" si="78"/>
        <v>-12</v>
      </c>
      <c r="K70" s="36">
        <f t="shared" si="78"/>
        <v>-12</v>
      </c>
      <c r="L70" s="36">
        <f t="shared" si="78"/>
        <v>-12</v>
      </c>
    </row>
    <row r="71" spans="2:34" x14ac:dyDescent="0.35">
      <c r="B71" s="13" t="s">
        <v>192</v>
      </c>
      <c r="C71" s="33"/>
      <c r="D71" s="25">
        <f>+D70</f>
        <v>-10</v>
      </c>
      <c r="E71" s="25">
        <f t="shared" ref="E71:H71" si="79">+E70</f>
        <v>-10</v>
      </c>
      <c r="F71" s="25">
        <f t="shared" si="79"/>
        <v>-10</v>
      </c>
      <c r="G71" s="25">
        <f t="shared" si="79"/>
        <v>-10</v>
      </c>
      <c r="H71" s="35">
        <f t="shared" si="79"/>
        <v>-12</v>
      </c>
      <c r="I71" s="35">
        <f t="shared" ref="I71:L71" si="80">+I70</f>
        <v>-12</v>
      </c>
      <c r="J71" s="35">
        <f t="shared" si="80"/>
        <v>-12</v>
      </c>
      <c r="K71" s="35">
        <f t="shared" si="80"/>
        <v>-12</v>
      </c>
      <c r="L71" s="35">
        <f t="shared" si="80"/>
        <v>-12</v>
      </c>
    </row>
    <row r="72" spans="2:34" x14ac:dyDescent="0.35">
      <c r="B72" s="12"/>
      <c r="C72" s="6"/>
      <c r="D72" s="27"/>
      <c r="E72" s="27"/>
      <c r="F72" s="27"/>
      <c r="G72" s="27"/>
      <c r="H72" s="36"/>
      <c r="I72" s="36"/>
      <c r="J72" s="36"/>
      <c r="K72" s="36"/>
      <c r="L72" s="36"/>
    </row>
    <row r="73" spans="2:34" x14ac:dyDescent="0.35">
      <c r="B73" s="12" t="s">
        <v>202</v>
      </c>
      <c r="C73" s="6"/>
      <c r="D73" s="27"/>
      <c r="E73" s="27"/>
      <c r="F73" s="27"/>
      <c r="G73" s="27"/>
      <c r="H73" s="36"/>
      <c r="I73" s="36"/>
      <c r="J73" s="36"/>
      <c r="K73" s="36"/>
      <c r="L73" s="36"/>
    </row>
    <row r="74" spans="2:34" x14ac:dyDescent="0.35">
      <c r="B74" s="21" t="s">
        <v>30</v>
      </c>
      <c r="C74" s="6" t="s">
        <v>52</v>
      </c>
      <c r="D74" s="32">
        <v>-5</v>
      </c>
      <c r="E74" s="32">
        <v>-5</v>
      </c>
      <c r="F74" s="32">
        <v>-5</v>
      </c>
      <c r="G74" s="32">
        <v>-5</v>
      </c>
      <c r="H74" s="34">
        <f>+H20</f>
        <v>-5</v>
      </c>
      <c r="I74" s="34">
        <f t="shared" ref="I74:L74" si="81">+I20</f>
        <v>-5</v>
      </c>
      <c r="J74" s="34">
        <f t="shared" si="81"/>
        <v>-5</v>
      </c>
      <c r="K74" s="34">
        <f t="shared" si="81"/>
        <v>-5</v>
      </c>
      <c r="L74" s="34">
        <f t="shared" si="81"/>
        <v>0</v>
      </c>
    </row>
    <row r="75" spans="2:34" x14ac:dyDescent="0.35">
      <c r="B75" s="21" t="s">
        <v>199</v>
      </c>
      <c r="C75" s="6" t="s">
        <v>52</v>
      </c>
      <c r="D75" s="32">
        <v>0</v>
      </c>
      <c r="E75" s="32">
        <v>0</v>
      </c>
      <c r="F75" s="32">
        <v>0</v>
      </c>
      <c r="G75" s="32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</row>
    <row r="76" spans="2:34" x14ac:dyDescent="0.35">
      <c r="B76" s="13" t="s">
        <v>193</v>
      </c>
      <c r="C76" s="33"/>
      <c r="D76" s="25">
        <f>+SUM(D74:D75)</f>
        <v>-5</v>
      </c>
      <c r="E76" s="25">
        <f t="shared" ref="E76:H76" si="82">+SUM(E74:E75)</f>
        <v>-5</v>
      </c>
      <c r="F76" s="25">
        <f t="shared" si="82"/>
        <v>-5</v>
      </c>
      <c r="G76" s="25">
        <f t="shared" si="82"/>
        <v>-5</v>
      </c>
      <c r="H76" s="35">
        <f t="shared" si="82"/>
        <v>-5</v>
      </c>
      <c r="I76" s="35">
        <f t="shared" ref="I76:L76" si="83">+SUM(I74:I75)</f>
        <v>-5</v>
      </c>
      <c r="J76" s="35">
        <f t="shared" si="83"/>
        <v>-5</v>
      </c>
      <c r="K76" s="35">
        <f t="shared" si="83"/>
        <v>-5</v>
      </c>
      <c r="L76" s="35">
        <f t="shared" si="83"/>
        <v>0</v>
      </c>
    </row>
    <row r="77" spans="2:34" x14ac:dyDescent="0.35">
      <c r="B77" s="13"/>
      <c r="C77" s="33"/>
      <c r="D77" s="25"/>
      <c r="E77" s="25"/>
      <c r="F77" s="25"/>
      <c r="G77" s="25"/>
      <c r="H77" s="35"/>
      <c r="I77" s="35"/>
      <c r="J77" s="35"/>
      <c r="K77" s="35"/>
      <c r="L77" s="35"/>
    </row>
    <row r="78" spans="2:34" s="12" customFormat="1" x14ac:dyDescent="0.35">
      <c r="B78" s="13" t="s">
        <v>31</v>
      </c>
      <c r="C78" s="25"/>
      <c r="D78" s="25">
        <f>+D67+D71+D76</f>
        <v>11.049999999999997</v>
      </c>
      <c r="E78" s="25">
        <f t="shared" ref="E78:H78" si="84">+E67+E71+E76</f>
        <v>16.700000000000003</v>
      </c>
      <c r="F78" s="25">
        <f t="shared" si="84"/>
        <v>23.32</v>
      </c>
      <c r="G78" s="25">
        <f t="shared" si="84"/>
        <v>30.25</v>
      </c>
      <c r="H78" s="35">
        <f t="shared" si="84"/>
        <v>34.672049315068506</v>
      </c>
      <c r="I78" s="35">
        <f t="shared" ref="I78:L78" si="85">+I67+I71+I76</f>
        <v>40.262384438356165</v>
      </c>
      <c r="J78" s="35">
        <f t="shared" si="85"/>
        <v>45.855906700273977</v>
      </c>
      <c r="K78" s="35">
        <f t="shared" si="85"/>
        <v>50.508851831758903</v>
      </c>
      <c r="L78" s="35">
        <f t="shared" si="85"/>
        <v>59.833917137127443</v>
      </c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spans="2:34" x14ac:dyDescent="0.35">
      <c r="B79" s="21"/>
      <c r="C79" s="6"/>
      <c r="D79" s="32"/>
      <c r="E79" s="32"/>
      <c r="F79" s="32"/>
      <c r="G79" s="32"/>
      <c r="H79" s="36"/>
      <c r="I79" s="36"/>
      <c r="J79" s="36"/>
      <c r="K79" s="36"/>
      <c r="L79" s="36"/>
      <c r="AB79" s="12"/>
      <c r="AC79" s="12"/>
    </row>
    <row r="80" spans="2:34" x14ac:dyDescent="0.35">
      <c r="B80" s="21" t="s">
        <v>32</v>
      </c>
      <c r="C80" s="6"/>
      <c r="D80" s="32">
        <f>+C43</f>
        <v>15</v>
      </c>
      <c r="E80" s="32">
        <f t="shared" ref="E80:H80" si="86">+D43</f>
        <v>26.05</v>
      </c>
      <c r="F80" s="32">
        <f t="shared" si="86"/>
        <v>42.75</v>
      </c>
      <c r="G80" s="32">
        <f t="shared" si="86"/>
        <v>66.069999999999993</v>
      </c>
      <c r="H80" s="34">
        <f t="shared" si="86"/>
        <v>96.32</v>
      </c>
      <c r="I80" s="34">
        <f t="shared" ref="I80" si="87">+H43</f>
        <v>130.9920493150685</v>
      </c>
      <c r="J80" s="34">
        <f t="shared" ref="J80" si="88">+I43</f>
        <v>171.25443375342468</v>
      </c>
      <c r="K80" s="34">
        <f t="shared" ref="K80" si="89">+J43</f>
        <v>217.11034045369865</v>
      </c>
      <c r="L80" s="34">
        <f t="shared" ref="L80" si="90">+K43</f>
        <v>267.61919228545753</v>
      </c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spans="2:29" s="12" customFormat="1" x14ac:dyDescent="0.35">
      <c r="B81" s="9" t="s">
        <v>33</v>
      </c>
      <c r="D81" s="24">
        <f>+D80+D78</f>
        <v>26.049999999999997</v>
      </c>
      <c r="E81" s="24">
        <f t="shared" ref="E81:H81" si="91">+E80+E78</f>
        <v>42.75</v>
      </c>
      <c r="F81" s="24">
        <f t="shared" si="91"/>
        <v>66.069999999999993</v>
      </c>
      <c r="G81" s="24">
        <f t="shared" si="91"/>
        <v>96.32</v>
      </c>
      <c r="H81" s="36">
        <f t="shared" si="91"/>
        <v>130.9920493150685</v>
      </c>
      <c r="I81" s="36">
        <f t="shared" ref="I81:L81" si="92">+I80+I78</f>
        <v>171.25443375342468</v>
      </c>
      <c r="J81" s="36">
        <f t="shared" si="92"/>
        <v>217.11034045369865</v>
      </c>
      <c r="K81" s="36">
        <f t="shared" si="92"/>
        <v>267.61919228545753</v>
      </c>
      <c r="L81" s="36">
        <f t="shared" si="92"/>
        <v>327.45310942258499</v>
      </c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spans="2:29" x14ac:dyDescent="0.35">
      <c r="H82" s="34"/>
      <c r="I82" s="34"/>
      <c r="J82" s="34"/>
      <c r="K82" s="34"/>
      <c r="L82" s="34"/>
      <c r="AB82" s="12"/>
      <c r="AC82" s="12"/>
    </row>
    <row r="83" spans="2:29" x14ac:dyDescent="0.35">
      <c r="B83" s="12" t="s">
        <v>66</v>
      </c>
      <c r="H83" s="34"/>
      <c r="I83" s="34"/>
      <c r="J83" s="34"/>
      <c r="K83" s="34"/>
      <c r="L83" s="34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spans="2:29" x14ac:dyDescent="0.35">
      <c r="B84" s="6" t="s">
        <v>68</v>
      </c>
      <c r="C84" s="26">
        <f t="shared" ref="C84:J85" si="93">+C44</f>
        <v>10</v>
      </c>
      <c r="D84" s="26">
        <f t="shared" si="93"/>
        <v>11.5</v>
      </c>
      <c r="E84" s="26">
        <f t="shared" si="93"/>
        <v>13</v>
      </c>
      <c r="F84" s="26">
        <f t="shared" si="93"/>
        <v>14.5</v>
      </c>
      <c r="G84" s="26">
        <f t="shared" si="93"/>
        <v>16</v>
      </c>
      <c r="H84" s="34">
        <f t="shared" si="93"/>
        <v>17.600000000000001</v>
      </c>
      <c r="I84" s="34">
        <f t="shared" si="93"/>
        <v>19.184000000000001</v>
      </c>
      <c r="J84" s="34">
        <f t="shared" si="93"/>
        <v>20.718720000000001</v>
      </c>
      <c r="K84" s="34">
        <f t="shared" ref="K84" si="94">+K44</f>
        <v>22.1690304</v>
      </c>
      <c r="L84" s="34">
        <f t="shared" ref="L84" si="95">+L44</f>
        <v>23.499172224000006</v>
      </c>
    </row>
    <row r="85" spans="2:29" x14ac:dyDescent="0.35">
      <c r="B85" s="6" t="s">
        <v>69</v>
      </c>
      <c r="C85" s="26">
        <f t="shared" si="93"/>
        <v>5</v>
      </c>
      <c r="D85" s="26">
        <f t="shared" si="93"/>
        <v>5.6</v>
      </c>
      <c r="E85" s="26">
        <f t="shared" si="93"/>
        <v>6.1</v>
      </c>
      <c r="F85" s="26">
        <f t="shared" si="93"/>
        <v>6.5</v>
      </c>
      <c r="G85" s="26">
        <f t="shared" si="93"/>
        <v>6.9</v>
      </c>
      <c r="H85" s="34">
        <f t="shared" si="93"/>
        <v>7.5848767123287688</v>
      </c>
      <c r="I85" s="34">
        <f t="shared" si="93"/>
        <v>8.2675156164383559</v>
      </c>
      <c r="J85" s="34">
        <f t="shared" si="93"/>
        <v>8.9289168657534255</v>
      </c>
      <c r="K85" s="34">
        <f t="shared" ref="K85" si="96">+K45</f>
        <v>9.5539410463561669</v>
      </c>
      <c r="L85" s="34">
        <f t="shared" ref="L85" si="97">+L45</f>
        <v>10.127177509137537</v>
      </c>
    </row>
    <row r="86" spans="2:29" x14ac:dyDescent="0.35">
      <c r="B86" s="6" t="s">
        <v>70</v>
      </c>
      <c r="C86" s="26">
        <f t="shared" ref="C86:J86" si="98">-C50</f>
        <v>-6</v>
      </c>
      <c r="D86" s="26">
        <f t="shared" si="98"/>
        <v>-6.7</v>
      </c>
      <c r="E86" s="26">
        <f t="shared" si="98"/>
        <v>-7.3</v>
      </c>
      <c r="F86" s="26">
        <f t="shared" si="98"/>
        <v>-7.8</v>
      </c>
      <c r="G86" s="26">
        <f t="shared" si="98"/>
        <v>-8.3000000000000007</v>
      </c>
      <c r="H86" s="34">
        <f t="shared" si="98"/>
        <v>-9.1269260273972623</v>
      </c>
      <c r="I86" s="34">
        <f t="shared" si="98"/>
        <v>-9.9483493698630134</v>
      </c>
      <c r="J86" s="34">
        <f t="shared" si="98"/>
        <v>-10.744217319452055</v>
      </c>
      <c r="K86" s="34">
        <f t="shared" ref="K86" si="99">-K50</f>
        <v>-11.4963125318137</v>
      </c>
      <c r="L86" s="34">
        <f t="shared" ref="L86" si="100">-L50</f>
        <v>-12.186091283722522</v>
      </c>
    </row>
    <row r="87" spans="2:29" x14ac:dyDescent="0.35">
      <c r="B87" s="13" t="s">
        <v>71</v>
      </c>
      <c r="C87" s="13"/>
      <c r="D87" s="25">
        <f t="shared" ref="D87" si="101">+SUM(D84:D86)-SUM(C84:C86)</f>
        <v>1.4000000000000021</v>
      </c>
      <c r="E87" s="25">
        <f t="shared" ref="E87" si="102">+SUM(E84:E86)-SUM(D84:D86)</f>
        <v>1.3999999999999986</v>
      </c>
      <c r="F87" s="25">
        <f t="shared" ref="F87" si="103">+SUM(F84:F86)-SUM(E84:E86)</f>
        <v>1.3999999999999986</v>
      </c>
      <c r="G87" s="25">
        <f t="shared" ref="G87" si="104">+SUM(G84:G86)-SUM(F84:F86)</f>
        <v>1.3999999999999986</v>
      </c>
      <c r="H87" s="35">
        <f t="shared" ref="H87" si="105">+SUM(H84:H86)-SUM(G84:G86)</f>
        <v>1.4579506849315074</v>
      </c>
      <c r="I87" s="35">
        <f t="shared" ref="I87" si="106">+SUM(I84:I86)-SUM(H84:H86)</f>
        <v>1.4452155616438382</v>
      </c>
      <c r="J87" s="35">
        <f t="shared" ref="J87" si="107">+SUM(J84:J86)-SUM(I84:I86)</f>
        <v>1.4002532997260282</v>
      </c>
      <c r="K87" s="35">
        <f t="shared" ref="K87:L87" si="108">+SUM(K84:K86)-SUM(J84:J86)</f>
        <v>1.3232393682410972</v>
      </c>
      <c r="L87" s="35">
        <f t="shared" si="108"/>
        <v>1.2135995348725537</v>
      </c>
    </row>
    <row r="88" spans="2:29" x14ac:dyDescent="0.35">
      <c r="H88" s="34"/>
      <c r="I88" s="34"/>
      <c r="J88" s="34"/>
      <c r="K88" s="34"/>
      <c r="L88" s="34"/>
    </row>
    <row r="89" spans="2:29" x14ac:dyDescent="0.35">
      <c r="H89" s="34"/>
      <c r="I89" s="34"/>
      <c r="J89" s="34"/>
      <c r="K89" s="34"/>
      <c r="L89" s="34"/>
    </row>
    <row r="90" spans="2:29" x14ac:dyDescent="0.35">
      <c r="B90" s="12" t="s">
        <v>72</v>
      </c>
      <c r="H90" s="34"/>
      <c r="I90" s="34"/>
      <c r="J90" s="34"/>
      <c r="K90" s="34"/>
      <c r="L90" s="34"/>
    </row>
    <row r="91" spans="2:29" x14ac:dyDescent="0.35">
      <c r="B91" s="6" t="s">
        <v>15</v>
      </c>
      <c r="C91" s="26">
        <f t="shared" ref="C91:J91" si="109">+C46</f>
        <v>40</v>
      </c>
      <c r="D91" s="26">
        <f t="shared" si="109"/>
        <v>44</v>
      </c>
      <c r="E91" s="26">
        <f t="shared" si="109"/>
        <v>47</v>
      </c>
      <c r="F91" s="26">
        <f t="shared" si="109"/>
        <v>49</v>
      </c>
      <c r="G91" s="26">
        <f t="shared" si="109"/>
        <v>50</v>
      </c>
      <c r="H91" s="34">
        <f t="shared" si="109"/>
        <v>51.8</v>
      </c>
      <c r="I91" s="34">
        <f t="shared" si="109"/>
        <v>53.599999999999994</v>
      </c>
      <c r="J91" s="34">
        <f t="shared" si="109"/>
        <v>55.399999999999991</v>
      </c>
      <c r="K91" s="34">
        <f t="shared" ref="K91:L91" si="110">+K46</f>
        <v>57.199999999999989</v>
      </c>
      <c r="L91" s="34">
        <f t="shared" si="110"/>
        <v>58.999999999999986</v>
      </c>
    </row>
    <row r="92" spans="2:29" x14ac:dyDescent="0.35">
      <c r="B92" s="6" t="s">
        <v>6</v>
      </c>
      <c r="C92" s="26">
        <f t="shared" ref="C92:J92" si="111">-C33</f>
        <v>5</v>
      </c>
      <c r="D92" s="26">
        <f t="shared" si="111"/>
        <v>6</v>
      </c>
      <c r="E92" s="26">
        <f t="shared" si="111"/>
        <v>7</v>
      </c>
      <c r="F92" s="26">
        <f t="shared" si="111"/>
        <v>8</v>
      </c>
      <c r="G92" s="26">
        <f t="shared" si="111"/>
        <v>9</v>
      </c>
      <c r="H92" s="34">
        <f t="shared" si="111"/>
        <v>10.199999999999999</v>
      </c>
      <c r="I92" s="34">
        <f t="shared" si="111"/>
        <v>10.199999999999999</v>
      </c>
      <c r="J92" s="34">
        <f t="shared" si="111"/>
        <v>10.199999999999999</v>
      </c>
      <c r="K92" s="34">
        <f t="shared" ref="K92:L92" si="112">-K33</f>
        <v>10.199999999999999</v>
      </c>
      <c r="L92" s="34">
        <f t="shared" si="112"/>
        <v>10.199999999999999</v>
      </c>
    </row>
    <row r="93" spans="2:29" x14ac:dyDescent="0.35">
      <c r="B93" s="13" t="s">
        <v>72</v>
      </c>
      <c r="C93" s="13"/>
      <c r="D93" s="25">
        <f>+(D91-C91)+D92</f>
        <v>10</v>
      </c>
      <c r="E93" s="25">
        <f t="shared" ref="E93:J93" si="113">+(E91-D91)+E92</f>
        <v>10</v>
      </c>
      <c r="F93" s="25">
        <f t="shared" si="113"/>
        <v>10</v>
      </c>
      <c r="G93" s="25">
        <f t="shared" si="113"/>
        <v>10</v>
      </c>
      <c r="H93" s="35">
        <f t="shared" si="113"/>
        <v>11.999999999999996</v>
      </c>
      <c r="I93" s="35">
        <f t="shared" si="113"/>
        <v>11.999999999999996</v>
      </c>
      <c r="J93" s="35">
        <f t="shared" si="113"/>
        <v>11.999999999999996</v>
      </c>
      <c r="K93" s="35">
        <f t="shared" ref="K93" si="114">+(K91-J91)+K92</f>
        <v>11.999999999999996</v>
      </c>
      <c r="L93" s="35">
        <f t="shared" ref="L93" si="115">+(L91-K91)+L92</f>
        <v>11.999999999999996</v>
      </c>
    </row>
  </sheetData>
  <pageMargins left="0.7" right="0.7" top="0.75" bottom="0.75" header="0.3" footer="0.3"/>
  <pageSetup paperSize="9" orientation="portrait" r:id="rId1"/>
  <ignoredErrors>
    <ignoredError sqref="H31:L34 H36:L38" formula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68D5-8457-4464-AFD1-A92774637A60}">
  <sheetPr>
    <tabColor theme="4" tint="-0.499984740745262"/>
  </sheetPr>
  <dimension ref="A2:Y39"/>
  <sheetViews>
    <sheetView showGridLines="0" topLeftCell="A9" zoomScale="96" zoomScaleNormal="85" workbookViewId="0">
      <selection activeCell="D25" sqref="D25"/>
    </sheetView>
  </sheetViews>
  <sheetFormatPr defaultRowHeight="15.5" x14ac:dyDescent="0.35"/>
  <cols>
    <col min="1" max="1" width="2.7265625" style="47" customWidth="1"/>
    <col min="2" max="2" width="24.36328125" style="47" bestFit="1" customWidth="1"/>
    <col min="3" max="7" width="12.81640625" style="47" customWidth="1"/>
    <col min="8" max="8" width="16.6328125" style="47" bestFit="1" customWidth="1"/>
    <col min="9" max="9" width="12.81640625" style="47" customWidth="1"/>
    <col min="10" max="10" width="13.81640625" style="47" bestFit="1" customWidth="1"/>
    <col min="11" max="12" width="12.81640625" style="47" customWidth="1"/>
    <col min="13" max="16384" width="8.7265625" style="47"/>
  </cols>
  <sheetData>
    <row r="2" spans="1:25" ht="19.5" customHeight="1" x14ac:dyDescent="0.35">
      <c r="B2" s="42"/>
      <c r="C2" s="42"/>
      <c r="D2" s="42"/>
      <c r="E2" s="42"/>
      <c r="F2" s="42"/>
      <c r="G2" s="43"/>
      <c r="H2" s="42"/>
      <c r="I2" s="42"/>
      <c r="O2" s="74"/>
      <c r="P2" s="42"/>
      <c r="Q2" s="42"/>
      <c r="R2" s="42"/>
      <c r="S2" s="42"/>
      <c r="T2" s="42"/>
      <c r="U2" s="42"/>
      <c r="V2" s="42"/>
      <c r="W2" s="42"/>
      <c r="X2" s="42"/>
      <c r="Y2" s="42"/>
    </row>
    <row r="3" spans="1:25" x14ac:dyDescent="0.35">
      <c r="B3" s="44" t="s">
        <v>234</v>
      </c>
      <c r="C3" s="46">
        <v>-1</v>
      </c>
      <c r="D3" s="46">
        <f>+C3+1</f>
        <v>0</v>
      </c>
      <c r="E3" s="46">
        <f t="shared" ref="E3:I3" si="0">+D3+1</f>
        <v>1</v>
      </c>
      <c r="F3" s="46">
        <f t="shared" si="0"/>
        <v>2</v>
      </c>
      <c r="G3" s="46">
        <f t="shared" si="0"/>
        <v>3</v>
      </c>
      <c r="H3" s="46">
        <f t="shared" si="0"/>
        <v>4</v>
      </c>
      <c r="I3" s="46">
        <f t="shared" si="0"/>
        <v>5</v>
      </c>
      <c r="O3" s="74" t="s">
        <v>25</v>
      </c>
      <c r="P3" s="42" t="s">
        <v>205</v>
      </c>
      <c r="Q3" s="42"/>
      <c r="R3" s="42"/>
      <c r="S3" s="42"/>
      <c r="T3" s="42"/>
      <c r="U3" s="42"/>
      <c r="V3" s="42"/>
      <c r="W3" s="42"/>
      <c r="X3" s="42"/>
      <c r="Y3" s="42"/>
    </row>
    <row r="4" spans="1:25" x14ac:dyDescent="0.35">
      <c r="A4" s="47" t="s">
        <v>25</v>
      </c>
      <c r="B4" s="47" t="s">
        <v>213</v>
      </c>
      <c r="C4" s="47">
        <f>+'3_Statements_Model'!F34</f>
        <v>43.8</v>
      </c>
      <c r="D4" s="47">
        <f>+'3_Statements_Model'!G34</f>
        <v>51.400000000000006</v>
      </c>
      <c r="E4" s="47">
        <f>+'3_Statements_Model'!H34</f>
        <v>58.440000000000012</v>
      </c>
      <c r="F4" s="47">
        <f>+'3_Statements_Model'!I34</f>
        <v>65.576800000000006</v>
      </c>
      <c r="G4" s="47">
        <f>+'3_Statements_Model'!J34</f>
        <v>72.674880000000002</v>
      </c>
      <c r="H4" s="47">
        <f>+'3_Statements_Model'!K34</f>
        <v>78.476121599999985</v>
      </c>
      <c r="I4" s="47">
        <f>+'3_Statements_Model'!L34</f>
        <v>83.796688896000006</v>
      </c>
      <c r="O4" s="75"/>
    </row>
    <row r="5" spans="1:25" x14ac:dyDescent="0.35">
      <c r="B5" s="47" t="s">
        <v>214</v>
      </c>
      <c r="C5" s="47">
        <v>0.25</v>
      </c>
      <c r="D5" s="47">
        <v>0.25</v>
      </c>
      <c r="E5" s="47">
        <v>0.25</v>
      </c>
      <c r="F5" s="47">
        <v>0.25</v>
      </c>
      <c r="G5" s="47">
        <v>0.25</v>
      </c>
      <c r="H5" s="47">
        <v>0.25</v>
      </c>
      <c r="I5" s="47">
        <v>0.25</v>
      </c>
      <c r="P5" s="47" t="s">
        <v>211</v>
      </c>
      <c r="Q5" s="77">
        <v>0</v>
      </c>
      <c r="R5" s="77">
        <f>+Q5+1</f>
        <v>1</v>
      </c>
      <c r="S5" s="77">
        <f t="shared" ref="S5:V5" si="1">+R5+1</f>
        <v>2</v>
      </c>
      <c r="T5" s="77">
        <f t="shared" si="1"/>
        <v>3</v>
      </c>
      <c r="U5" s="77">
        <f t="shared" si="1"/>
        <v>4</v>
      </c>
      <c r="V5" s="77">
        <f t="shared" si="1"/>
        <v>5</v>
      </c>
    </row>
    <row r="6" spans="1:25" x14ac:dyDescent="0.35">
      <c r="B6" s="48" t="s">
        <v>215</v>
      </c>
      <c r="C6" s="48">
        <f t="shared" ref="C6:I6" si="2">+C4*(1-C5)</f>
        <v>32.849999999999994</v>
      </c>
      <c r="D6" s="48">
        <f t="shared" si="2"/>
        <v>38.550000000000004</v>
      </c>
      <c r="E6" s="48">
        <f t="shared" si="2"/>
        <v>43.830000000000013</v>
      </c>
      <c r="F6" s="48">
        <f t="shared" si="2"/>
        <v>49.182600000000008</v>
      </c>
      <c r="G6" s="48">
        <f t="shared" si="2"/>
        <v>54.506160000000001</v>
      </c>
      <c r="H6" s="48">
        <f t="shared" si="2"/>
        <v>58.857091199999985</v>
      </c>
      <c r="I6" s="48">
        <f t="shared" si="2"/>
        <v>62.847516672000005</v>
      </c>
      <c r="P6" s="49" t="s">
        <v>232</v>
      </c>
      <c r="Q6" s="47">
        <f>+D11</f>
        <v>36.150000000000006</v>
      </c>
      <c r="R6" s="47">
        <f t="shared" ref="R6:V6" si="3">+E11</f>
        <v>35.412232630212017</v>
      </c>
      <c r="S6" s="47">
        <f t="shared" si="3"/>
        <v>34.996047035793715</v>
      </c>
      <c r="T6" s="47">
        <f t="shared" si="3"/>
        <v>34.115085067182747</v>
      </c>
      <c r="U6" s="47">
        <f t="shared" si="3"/>
        <v>32.346292839742055</v>
      </c>
      <c r="V6" s="47">
        <f t="shared" si="3"/>
        <v>30.309533688633785</v>
      </c>
    </row>
    <row r="7" spans="1:25" x14ac:dyDescent="0.35">
      <c r="B7" s="45" t="s">
        <v>27</v>
      </c>
      <c r="C7" s="47">
        <f>-'3_Statements_Model'!F33</f>
        <v>8</v>
      </c>
      <c r="D7" s="47">
        <f>-'3_Statements_Model'!G33</f>
        <v>9</v>
      </c>
      <c r="E7" s="47">
        <f>-'3_Statements_Model'!H33</f>
        <v>10.199999999999999</v>
      </c>
      <c r="F7" s="47">
        <f>-'3_Statements_Model'!I33</f>
        <v>10.199999999999999</v>
      </c>
      <c r="G7" s="47">
        <f>-'3_Statements_Model'!J33</f>
        <v>10.199999999999999</v>
      </c>
      <c r="H7" s="47">
        <f>-'3_Statements_Model'!K33</f>
        <v>10.199999999999999</v>
      </c>
      <c r="I7" s="47">
        <f>-'3_Statements_Model'!L33</f>
        <v>10.199999999999999</v>
      </c>
      <c r="P7" s="49" t="s">
        <v>242</v>
      </c>
      <c r="Q7" s="47">
        <f>+'3_Statements_Model'!G51-'3_Statements_Model'!G43</f>
        <v>-76.319999999999993</v>
      </c>
      <c r="R7" s="47">
        <f>+'3_Statements_Model'!H51-'3_Statements_Model'!H43</f>
        <v>-115.9920493150685</v>
      </c>
      <c r="S7" s="47">
        <f>+'3_Statements_Model'!I51-'3_Statements_Model'!I43</f>
        <v>-161.25443375342468</v>
      </c>
      <c r="T7" s="47">
        <f>+'3_Statements_Model'!J51-'3_Statements_Model'!J43</f>
        <v>-212.11034045369865</v>
      </c>
      <c r="U7" s="47">
        <f>+'3_Statements_Model'!K51-'3_Statements_Model'!K43</f>
        <v>-267.61919228545753</v>
      </c>
      <c r="V7" s="47">
        <f>+'3_Statements_Model'!L51-'3_Statements_Model'!L43</f>
        <v>-327.45310942258499</v>
      </c>
    </row>
    <row r="8" spans="1:25" x14ac:dyDescent="0.35">
      <c r="B8" s="45" t="s">
        <v>67</v>
      </c>
      <c r="C8" s="47">
        <f>+'3_Statements_Model'!F66</f>
        <v>-1.3999999999999986</v>
      </c>
      <c r="D8" s="47">
        <f>+'3_Statements_Model'!G66</f>
        <v>-1.3999999999999986</v>
      </c>
      <c r="E8" s="47">
        <f>+'3_Statements_Model'!H66</f>
        <v>-1.4579506849315074</v>
      </c>
      <c r="F8" s="47">
        <f>+'3_Statements_Model'!I66</f>
        <v>-1.4452155616438382</v>
      </c>
      <c r="G8" s="47">
        <f>+'3_Statements_Model'!J66</f>
        <v>-1.4002532997260282</v>
      </c>
      <c r="H8" s="47">
        <f>+'3_Statements_Model'!K66</f>
        <v>-1.3232393682410972</v>
      </c>
      <c r="I8" s="47">
        <f>+'3_Statements_Model'!L66</f>
        <v>-1.2135995348725537</v>
      </c>
    </row>
    <row r="9" spans="1:25" x14ac:dyDescent="0.35">
      <c r="B9" s="47" t="s">
        <v>216</v>
      </c>
      <c r="C9" s="47">
        <f>+'3_Statements_Model'!F70</f>
        <v>-10</v>
      </c>
      <c r="D9" s="47">
        <f>+'3_Statements_Model'!G70</f>
        <v>-10</v>
      </c>
      <c r="E9" s="47">
        <f>+'3_Statements_Model'!H70</f>
        <v>-12</v>
      </c>
      <c r="F9" s="47">
        <f>+'3_Statements_Model'!I70</f>
        <v>-12</v>
      </c>
      <c r="G9" s="47">
        <f>+'3_Statements_Model'!J70</f>
        <v>-12</v>
      </c>
      <c r="H9" s="47">
        <f>+'3_Statements_Model'!K70</f>
        <v>-12</v>
      </c>
      <c r="I9" s="47">
        <f>+'3_Statements_Model'!L70</f>
        <v>-12</v>
      </c>
    </row>
    <row r="10" spans="1:25" x14ac:dyDescent="0.35">
      <c r="B10" s="48" t="s">
        <v>217</v>
      </c>
      <c r="C10" s="48">
        <f t="shared" ref="C10:I10" si="4">SUM(C6:C9)</f>
        <v>29.449999999999996</v>
      </c>
      <c r="D10" s="48">
        <f t="shared" si="4"/>
        <v>36.150000000000006</v>
      </c>
      <c r="E10" s="48">
        <f t="shared" si="4"/>
        <v>40.572049315068512</v>
      </c>
      <c r="F10" s="48">
        <f t="shared" si="4"/>
        <v>45.937384438356176</v>
      </c>
      <c r="G10" s="48">
        <f t="shared" si="4"/>
        <v>51.305906700273965</v>
      </c>
      <c r="H10" s="48">
        <f t="shared" si="4"/>
        <v>55.733851831758898</v>
      </c>
      <c r="I10" s="48">
        <f t="shared" si="4"/>
        <v>59.833917137127443</v>
      </c>
    </row>
    <row r="11" spans="1:25" x14ac:dyDescent="0.35">
      <c r="B11" s="49" t="s">
        <v>232</v>
      </c>
      <c r="D11" s="47">
        <f t="shared" ref="D11:I11" si="5">+D10/(1+$C$32)^(D3)</f>
        <v>36.150000000000006</v>
      </c>
      <c r="E11" s="47">
        <f t="shared" si="5"/>
        <v>35.412232630212017</v>
      </c>
      <c r="F11" s="47">
        <f t="shared" si="5"/>
        <v>34.996047035793715</v>
      </c>
      <c r="G11" s="47">
        <f t="shared" si="5"/>
        <v>34.115085067182747</v>
      </c>
      <c r="H11" s="47">
        <f t="shared" si="5"/>
        <v>32.346292839742055</v>
      </c>
      <c r="I11" s="47">
        <f t="shared" si="5"/>
        <v>30.309533688633785</v>
      </c>
    </row>
    <row r="13" spans="1:25" x14ac:dyDescent="0.35">
      <c r="B13" s="50" t="s">
        <v>235</v>
      </c>
      <c r="C13" s="51"/>
      <c r="D13" s="51"/>
      <c r="E13" s="51"/>
      <c r="F13" s="51"/>
      <c r="G13" s="51"/>
      <c r="H13" s="51"/>
      <c r="I13" s="51"/>
    </row>
    <row r="14" spans="1:25" x14ac:dyDescent="0.35">
      <c r="B14" s="49" t="s">
        <v>232</v>
      </c>
      <c r="D14" s="47">
        <f t="shared" ref="D14:I14" si="6">+D11</f>
        <v>36.150000000000006</v>
      </c>
      <c r="E14" s="47">
        <f t="shared" si="6"/>
        <v>35.412232630212017</v>
      </c>
      <c r="F14" s="47">
        <f t="shared" si="6"/>
        <v>34.996047035793715</v>
      </c>
      <c r="G14" s="47">
        <f t="shared" si="6"/>
        <v>34.115085067182747</v>
      </c>
      <c r="H14" s="47">
        <f t="shared" si="6"/>
        <v>32.346292839742055</v>
      </c>
      <c r="I14" s="47">
        <f t="shared" si="6"/>
        <v>30.309533688633785</v>
      </c>
      <c r="K14" s="71" t="s">
        <v>241</v>
      </c>
    </row>
    <row r="15" spans="1:25" x14ac:dyDescent="0.35">
      <c r="B15" s="52" t="s">
        <v>236</v>
      </c>
      <c r="C15" s="53"/>
      <c r="D15" s="53"/>
      <c r="E15" s="53"/>
      <c r="F15" s="53"/>
      <c r="G15" s="53"/>
      <c r="H15" s="53"/>
      <c r="I15" s="53">
        <f>+(I10*(1+K15))/(C32-K15)</f>
        <v>485.49807327279331</v>
      </c>
      <c r="K15" s="54">
        <v>0.02</v>
      </c>
    </row>
    <row r="17" spans="1:13" x14ac:dyDescent="0.35">
      <c r="B17" s="47" t="s">
        <v>237</v>
      </c>
      <c r="F17" s="47" t="s">
        <v>245</v>
      </c>
    </row>
    <row r="18" spans="1:13" x14ac:dyDescent="0.35">
      <c r="B18" s="55" t="s">
        <v>238</v>
      </c>
      <c r="C18" s="56"/>
      <c r="D18" s="57">
        <f>+SUM(E14:I14)</f>
        <v>167.17919126156434</v>
      </c>
      <c r="F18" s="55" t="s">
        <v>246</v>
      </c>
      <c r="G18" s="56"/>
      <c r="H18" s="57">
        <f>+D20</f>
        <v>413.11361962105423</v>
      </c>
    </row>
    <row r="19" spans="1:13" x14ac:dyDescent="0.35">
      <c r="B19" s="58" t="s">
        <v>239</v>
      </c>
      <c r="C19" s="59"/>
      <c r="D19" s="60">
        <f>+I15/(1+C32)^I3</f>
        <v>245.93442835948989</v>
      </c>
      <c r="F19" s="58" t="s">
        <v>247</v>
      </c>
      <c r="G19" s="59"/>
      <c r="H19" s="60">
        <f>D26</f>
        <v>-76.319999999999993</v>
      </c>
    </row>
    <row r="20" spans="1:13" x14ac:dyDescent="0.35">
      <c r="B20" s="61" t="s">
        <v>240</v>
      </c>
      <c r="C20" s="48"/>
      <c r="D20" s="62">
        <f>SUM(D18:D19)</f>
        <v>413.11361962105423</v>
      </c>
      <c r="F20" s="61" t="s">
        <v>248</v>
      </c>
      <c r="G20" s="48"/>
      <c r="H20" s="62">
        <f>+H18-H19</f>
        <v>489.43361962105422</v>
      </c>
    </row>
    <row r="23" spans="1:13" x14ac:dyDescent="0.35">
      <c r="B23" s="47" t="s">
        <v>242</v>
      </c>
      <c r="F23" s="47" t="s">
        <v>249</v>
      </c>
      <c r="J23" s="47" t="s">
        <v>253</v>
      </c>
      <c r="K23" s="47" t="str">
        <f>+IF(K24&gt;K25,"Compra","Vendi")</f>
        <v>Compra</v>
      </c>
    </row>
    <row r="24" spans="1:13" x14ac:dyDescent="0.35">
      <c r="B24" s="55" t="s">
        <v>244</v>
      </c>
      <c r="C24" s="56"/>
      <c r="D24" s="57">
        <f>+'3_Statements_Model'!G51</f>
        <v>20</v>
      </c>
      <c r="F24" s="55" t="s">
        <v>250</v>
      </c>
      <c r="G24" s="56"/>
      <c r="H24" s="57">
        <f>+H20*1000000</f>
        <v>489433619.62105423</v>
      </c>
      <c r="J24" s="55" t="s">
        <v>245</v>
      </c>
      <c r="K24" s="57">
        <f>+H26</f>
        <v>48.943361962105421</v>
      </c>
    </row>
    <row r="25" spans="1:13" x14ac:dyDescent="0.35">
      <c r="B25" s="58" t="s">
        <v>243</v>
      </c>
      <c r="C25" s="59"/>
      <c r="D25" s="60">
        <f>-'3_Statements_Model'!G43</f>
        <v>-96.32</v>
      </c>
      <c r="F25" s="58" t="s">
        <v>251</v>
      </c>
      <c r="G25" s="59"/>
      <c r="H25" s="60">
        <v>10000000</v>
      </c>
      <c r="J25" s="69" t="s">
        <v>254</v>
      </c>
      <c r="K25" s="70">
        <f>+('3_Statements_Model'!G56*1000000)/H25</f>
        <v>14.092000000000002</v>
      </c>
    </row>
    <row r="26" spans="1:13" x14ac:dyDescent="0.35">
      <c r="B26" s="61" t="s">
        <v>242</v>
      </c>
      <c r="C26" s="48"/>
      <c r="D26" s="62">
        <f>+D24+D25</f>
        <v>-76.319999999999993</v>
      </c>
      <c r="F26" s="61" t="s">
        <v>252</v>
      </c>
      <c r="G26" s="48"/>
      <c r="H26" s="62">
        <f>+H24/H25</f>
        <v>48.943361962105421</v>
      </c>
    </row>
    <row r="28" spans="1:13" x14ac:dyDescent="0.35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</row>
    <row r="29" spans="1:13" x14ac:dyDescent="0.35">
      <c r="A29" s="47" t="s">
        <v>25</v>
      </c>
      <c r="B29" s="50" t="s">
        <v>233</v>
      </c>
      <c r="C29" s="50"/>
      <c r="D29" s="50"/>
      <c r="E29" s="50"/>
      <c r="F29" s="50"/>
      <c r="G29" s="50"/>
      <c r="H29" s="50"/>
      <c r="I29" s="50"/>
      <c r="J29" s="50"/>
      <c r="K29" s="50"/>
      <c r="L29" s="50"/>
    </row>
    <row r="31" spans="1:13" x14ac:dyDescent="0.35">
      <c r="A31" s="47" t="s">
        <v>25</v>
      </c>
      <c r="B31" s="50" t="s">
        <v>223</v>
      </c>
      <c r="C31" s="51"/>
      <c r="D31" s="51"/>
      <c r="E31" s="51"/>
      <c r="F31" s="51"/>
      <c r="G31" s="63"/>
    </row>
    <row r="32" spans="1:13" x14ac:dyDescent="0.35">
      <c r="B32" s="64" t="s">
        <v>223</v>
      </c>
      <c r="C32" s="72">
        <f>+D33*C36+D34*E36</f>
        <v>0.14570718369376084</v>
      </c>
      <c r="D32" s="56"/>
      <c r="E32" s="57"/>
    </row>
    <row r="33" spans="2:5" x14ac:dyDescent="0.35">
      <c r="B33" s="58" t="s">
        <v>230</v>
      </c>
      <c r="C33" s="59">
        <f>+'3_Statements_Model'!G56</f>
        <v>140.92000000000002</v>
      </c>
      <c r="D33" s="59">
        <f>+C33/$C$35</f>
        <v>0.87571464081531192</v>
      </c>
      <c r="E33" s="60"/>
    </row>
    <row r="34" spans="2:5" x14ac:dyDescent="0.35">
      <c r="B34" s="58" t="s">
        <v>231</v>
      </c>
      <c r="C34" s="59">
        <f>+'3_Statements_Model'!G51</f>
        <v>20</v>
      </c>
      <c r="D34" s="59">
        <f>+C34/$C$35</f>
        <v>0.12428535918468803</v>
      </c>
      <c r="E34" s="60"/>
    </row>
    <row r="35" spans="2:5" x14ac:dyDescent="0.35">
      <c r="B35" s="65" t="s">
        <v>229</v>
      </c>
      <c r="C35" s="66">
        <f>SUM(C33:C34)</f>
        <v>160.92000000000002</v>
      </c>
      <c r="D35" s="66">
        <f>SUM(D33:D34)</f>
        <v>1</v>
      </c>
      <c r="E35" s="67"/>
    </row>
    <row r="36" spans="2:5" x14ac:dyDescent="0.35">
      <c r="B36" s="68" t="s">
        <v>224</v>
      </c>
      <c r="C36" s="48">
        <f>+C37+C38*(C39-C37)</f>
        <v>0.15999999999999998</v>
      </c>
      <c r="D36" s="48" t="s">
        <v>225</v>
      </c>
      <c r="E36" s="62">
        <f>+'3_Statements_Model'!H21*(1-'3_Statements_Model'!H13)</f>
        <v>4.4999999999999998E-2</v>
      </c>
    </row>
    <row r="37" spans="2:5" x14ac:dyDescent="0.35">
      <c r="B37" s="58" t="s">
        <v>226</v>
      </c>
      <c r="C37" s="59">
        <v>0.02</v>
      </c>
      <c r="D37" s="59"/>
      <c r="E37" s="60"/>
    </row>
    <row r="38" spans="2:5" x14ac:dyDescent="0.35">
      <c r="B38" s="58" t="s">
        <v>227</v>
      </c>
      <c r="C38" s="59">
        <v>1.4</v>
      </c>
      <c r="D38" s="59"/>
      <c r="E38" s="60"/>
    </row>
    <row r="39" spans="2:5" x14ac:dyDescent="0.35">
      <c r="B39" s="69" t="s">
        <v>228</v>
      </c>
      <c r="C39" s="53">
        <v>0.12</v>
      </c>
      <c r="D39" s="53"/>
      <c r="E39" s="70"/>
    </row>
  </sheetData>
  <conditionalFormatting sqref="K23">
    <cfRule type="containsText" dxfId="0" priority="1" operator="containsText" text="Compra">
      <formula>NOT(ISERROR(SEARCH("Compra",K23)))</formula>
    </cfRule>
  </conditionalFormatting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23968-D8B7-4919-AFCE-9DD0021DF0BB}">
  <sheetPr>
    <tabColor theme="9" tint="0.39997558519241921"/>
  </sheetPr>
  <dimension ref="A2:B42"/>
  <sheetViews>
    <sheetView showGridLines="0" workbookViewId="0">
      <selection activeCell="B35" sqref="B35"/>
    </sheetView>
  </sheetViews>
  <sheetFormatPr defaultRowHeight="14.5" x14ac:dyDescent="0.35"/>
  <cols>
    <col min="1" max="1" width="3.453125" customWidth="1"/>
  </cols>
  <sheetData>
    <row r="2" spans="1:2" ht="17.5" x14ac:dyDescent="0.35">
      <c r="A2" t="s">
        <v>25</v>
      </c>
      <c r="B2" s="1" t="s">
        <v>34</v>
      </c>
    </row>
    <row r="3" spans="1:2" x14ac:dyDescent="0.35">
      <c r="B3" s="2"/>
    </row>
    <row r="4" spans="1:2" x14ac:dyDescent="0.35">
      <c r="B4" s="3" t="s">
        <v>38</v>
      </c>
    </row>
    <row r="5" spans="1:2" x14ac:dyDescent="0.35">
      <c r="B5" s="2"/>
    </row>
    <row r="6" spans="1:2" x14ac:dyDescent="0.35">
      <c r="B6" s="3" t="s">
        <v>39</v>
      </c>
    </row>
    <row r="7" spans="1:2" x14ac:dyDescent="0.35">
      <c r="B7" s="2"/>
    </row>
    <row r="8" spans="1:2" x14ac:dyDescent="0.35">
      <c r="B8" s="3" t="s">
        <v>40</v>
      </c>
    </row>
    <row r="9" spans="1:2" x14ac:dyDescent="0.35">
      <c r="B9" s="2"/>
    </row>
    <row r="10" spans="1:2" x14ac:dyDescent="0.35">
      <c r="B10" s="3" t="s">
        <v>41</v>
      </c>
    </row>
    <row r="11" spans="1:2" x14ac:dyDescent="0.35">
      <c r="B11" s="2"/>
    </row>
    <row r="12" spans="1:2" x14ac:dyDescent="0.35">
      <c r="B12" s="3" t="s">
        <v>42</v>
      </c>
    </row>
    <row r="14" spans="1:2" ht="17.5" x14ac:dyDescent="0.35">
      <c r="A14" t="s">
        <v>25</v>
      </c>
      <c r="B14" s="4" t="s">
        <v>43</v>
      </c>
    </row>
    <row r="16" spans="1:2" x14ac:dyDescent="0.35">
      <c r="B16" s="5" t="s">
        <v>218</v>
      </c>
    </row>
    <row r="17" spans="1:2" x14ac:dyDescent="0.35">
      <c r="B17" s="2"/>
    </row>
    <row r="18" spans="1:2" x14ac:dyDescent="0.35">
      <c r="B18" s="5" t="s">
        <v>219</v>
      </c>
    </row>
    <row r="19" spans="1:2" x14ac:dyDescent="0.35">
      <c r="B19" s="2"/>
    </row>
    <row r="20" spans="1:2" x14ac:dyDescent="0.35">
      <c r="B20" s="5" t="s">
        <v>220</v>
      </c>
    </row>
    <row r="22" spans="1:2" ht="17.5" x14ac:dyDescent="0.35">
      <c r="A22" t="s">
        <v>25</v>
      </c>
      <c r="B22" s="1" t="s">
        <v>44</v>
      </c>
    </row>
    <row r="23" spans="1:2" x14ac:dyDescent="0.35">
      <c r="B23" s="2"/>
    </row>
    <row r="24" spans="1:2" x14ac:dyDescent="0.35">
      <c r="B24" s="3" t="s">
        <v>45</v>
      </c>
    </row>
    <row r="25" spans="1:2" x14ac:dyDescent="0.35">
      <c r="B25" s="2"/>
    </row>
    <row r="26" spans="1:2" x14ac:dyDescent="0.35">
      <c r="B26" s="3" t="s">
        <v>46</v>
      </c>
    </row>
    <row r="27" spans="1:2" x14ac:dyDescent="0.35">
      <c r="B27" s="2"/>
    </row>
    <row r="28" spans="1:2" x14ac:dyDescent="0.35">
      <c r="B28" s="3" t="s">
        <v>47</v>
      </c>
    </row>
    <row r="29" spans="1:2" x14ac:dyDescent="0.35">
      <c r="B29" s="2"/>
    </row>
    <row r="30" spans="1:2" x14ac:dyDescent="0.35">
      <c r="B30" s="3" t="s">
        <v>221</v>
      </c>
    </row>
    <row r="31" spans="1:2" x14ac:dyDescent="0.35">
      <c r="B31" s="2"/>
    </row>
    <row r="32" spans="1:2" x14ac:dyDescent="0.35">
      <c r="B32" s="3" t="s">
        <v>222</v>
      </c>
    </row>
    <row r="34" spans="1:2" ht="18.5" x14ac:dyDescent="0.45">
      <c r="A34" t="s">
        <v>255</v>
      </c>
      <c r="B34" s="76" t="s">
        <v>260</v>
      </c>
    </row>
    <row r="36" spans="1:2" x14ac:dyDescent="0.35">
      <c r="B36" s="41" t="s">
        <v>256</v>
      </c>
    </row>
    <row r="38" spans="1:2" x14ac:dyDescent="0.35">
      <c r="B38" s="41" t="s">
        <v>257</v>
      </c>
    </row>
    <row r="40" spans="1:2" x14ac:dyDescent="0.35">
      <c r="B40" s="41" t="s">
        <v>258</v>
      </c>
    </row>
    <row r="42" spans="1:2" x14ac:dyDescent="0.35">
      <c r="B42" s="41" t="s">
        <v>259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42E07-68AC-4D21-A6A5-53545966D36E}">
  <sheetPr>
    <tabColor theme="0" tint="-0.249977111117893"/>
  </sheetPr>
  <dimension ref="A2:G48"/>
  <sheetViews>
    <sheetView showGridLines="0" workbookViewId="0">
      <selection activeCell="G21" sqref="G21"/>
    </sheetView>
  </sheetViews>
  <sheetFormatPr defaultRowHeight="14.5" x14ac:dyDescent="0.35"/>
  <cols>
    <col min="1" max="1" width="3" customWidth="1"/>
    <col min="2" max="2" width="33.6328125" bestFit="1" customWidth="1"/>
    <col min="3" max="16384" width="8.7265625" style="38"/>
  </cols>
  <sheetData>
    <row r="2" spans="2:7" x14ac:dyDescent="0.35">
      <c r="B2" t="s">
        <v>203</v>
      </c>
    </row>
    <row r="3" spans="2:7" x14ac:dyDescent="0.35">
      <c r="B3" t="s">
        <v>0</v>
      </c>
      <c r="C3" s="38">
        <v>2021</v>
      </c>
      <c r="D3" s="38">
        <v>2022</v>
      </c>
      <c r="E3" s="38">
        <v>2023</v>
      </c>
      <c r="F3" s="38">
        <v>2024</v>
      </c>
      <c r="G3" s="38">
        <v>2025</v>
      </c>
    </row>
    <row r="4" spans="2:7" x14ac:dyDescent="0.35">
      <c r="B4" t="s">
        <v>1</v>
      </c>
      <c r="C4" s="38" t="s">
        <v>75</v>
      </c>
      <c r="D4" s="38" t="s">
        <v>76</v>
      </c>
      <c r="E4" s="38" t="s">
        <v>77</v>
      </c>
      <c r="F4" s="38" t="s">
        <v>78</v>
      </c>
      <c r="G4" s="38" t="s">
        <v>79</v>
      </c>
    </row>
    <row r="5" spans="2:7" x14ac:dyDescent="0.35">
      <c r="B5" t="s">
        <v>2</v>
      </c>
      <c r="C5" s="38" t="s">
        <v>80</v>
      </c>
      <c r="D5" s="38" t="s">
        <v>81</v>
      </c>
      <c r="E5" s="38" t="s">
        <v>82</v>
      </c>
      <c r="F5" s="38" t="s">
        <v>83</v>
      </c>
      <c r="G5" s="38" t="s">
        <v>84</v>
      </c>
    </row>
    <row r="6" spans="2:7" x14ac:dyDescent="0.35">
      <c r="B6" t="s">
        <v>3</v>
      </c>
      <c r="C6" s="38" t="s">
        <v>85</v>
      </c>
      <c r="D6" s="38" t="s">
        <v>86</v>
      </c>
      <c r="E6" s="38" t="s">
        <v>87</v>
      </c>
      <c r="F6" s="38" t="s">
        <v>88</v>
      </c>
      <c r="G6" s="38" t="s">
        <v>89</v>
      </c>
    </row>
    <row r="7" spans="2:7" x14ac:dyDescent="0.35">
      <c r="B7" t="s">
        <v>4</v>
      </c>
      <c r="C7" s="38" t="s">
        <v>90</v>
      </c>
      <c r="D7" s="38" t="s">
        <v>91</v>
      </c>
      <c r="E7" s="38" t="s">
        <v>92</v>
      </c>
      <c r="F7" s="38" t="s">
        <v>93</v>
      </c>
      <c r="G7" s="38" t="s">
        <v>94</v>
      </c>
    </row>
    <row r="8" spans="2:7" x14ac:dyDescent="0.35">
      <c r="B8" t="s">
        <v>5</v>
      </c>
      <c r="C8" s="38" t="s">
        <v>95</v>
      </c>
      <c r="D8" s="38" t="s">
        <v>96</v>
      </c>
      <c r="E8" s="38" t="s">
        <v>97</v>
      </c>
      <c r="F8" s="38" t="s">
        <v>98</v>
      </c>
      <c r="G8" s="38" t="s">
        <v>99</v>
      </c>
    </row>
    <row r="9" spans="2:7" x14ac:dyDescent="0.35">
      <c r="B9" t="s">
        <v>6</v>
      </c>
      <c r="C9" s="38" t="s">
        <v>100</v>
      </c>
      <c r="D9" s="38" t="s">
        <v>101</v>
      </c>
      <c r="E9" s="38" t="s">
        <v>102</v>
      </c>
      <c r="F9" s="38" t="s">
        <v>103</v>
      </c>
      <c r="G9" s="38" t="s">
        <v>104</v>
      </c>
    </row>
    <row r="10" spans="2:7" x14ac:dyDescent="0.35">
      <c r="B10" t="s">
        <v>7</v>
      </c>
      <c r="C10" s="38" t="s">
        <v>105</v>
      </c>
      <c r="D10" s="38" t="s">
        <v>106</v>
      </c>
      <c r="E10" s="38" t="s">
        <v>96</v>
      </c>
      <c r="F10" s="38" t="s">
        <v>107</v>
      </c>
      <c r="G10" s="38" t="s">
        <v>108</v>
      </c>
    </row>
    <row r="11" spans="2:7" x14ac:dyDescent="0.35">
      <c r="B11" t="s">
        <v>8</v>
      </c>
      <c r="C11" s="38" t="s">
        <v>109</v>
      </c>
      <c r="D11" s="38" t="s">
        <v>109</v>
      </c>
      <c r="E11" s="38" t="s">
        <v>110</v>
      </c>
      <c r="F11" s="38" t="s">
        <v>111</v>
      </c>
      <c r="G11" s="38" t="s">
        <v>112</v>
      </c>
    </row>
    <row r="12" spans="2:7" x14ac:dyDescent="0.35">
      <c r="B12" t="s">
        <v>9</v>
      </c>
      <c r="C12" s="38" t="s">
        <v>113</v>
      </c>
      <c r="D12" s="38" t="s">
        <v>114</v>
      </c>
      <c r="E12" s="38" t="s">
        <v>115</v>
      </c>
      <c r="F12" s="38" t="s">
        <v>116</v>
      </c>
      <c r="G12" s="38" t="s">
        <v>117</v>
      </c>
    </row>
    <row r="13" spans="2:7" x14ac:dyDescent="0.35">
      <c r="B13" t="s">
        <v>118</v>
      </c>
      <c r="C13" s="38" t="s">
        <v>119</v>
      </c>
      <c r="D13" s="38" t="s">
        <v>120</v>
      </c>
      <c r="E13" s="38" t="s">
        <v>121</v>
      </c>
      <c r="F13" s="38" t="s">
        <v>122</v>
      </c>
      <c r="G13" s="38" t="s">
        <v>123</v>
      </c>
    </row>
    <row r="14" spans="2:7" x14ac:dyDescent="0.35">
      <c r="B14" t="s">
        <v>10</v>
      </c>
      <c r="C14" s="38" t="s">
        <v>124</v>
      </c>
      <c r="D14" s="38" t="s">
        <v>125</v>
      </c>
      <c r="E14" s="38" t="s">
        <v>126</v>
      </c>
      <c r="F14" s="38" t="s">
        <v>127</v>
      </c>
      <c r="G14" s="38" t="s">
        <v>128</v>
      </c>
    </row>
    <row r="16" spans="2:7" x14ac:dyDescent="0.35">
      <c r="B16" t="s">
        <v>204</v>
      </c>
    </row>
    <row r="17" spans="2:7" x14ac:dyDescent="0.35">
      <c r="B17" t="s">
        <v>0</v>
      </c>
      <c r="C17" s="38">
        <v>2021</v>
      </c>
      <c r="D17" s="38">
        <v>2022</v>
      </c>
      <c r="E17" s="38">
        <v>2023</v>
      </c>
      <c r="F17" s="38">
        <v>2024</v>
      </c>
      <c r="G17" s="38">
        <v>2025</v>
      </c>
    </row>
    <row r="18" spans="2:7" x14ac:dyDescent="0.35">
      <c r="B18" t="s">
        <v>11</v>
      </c>
    </row>
    <row r="19" spans="2:7" x14ac:dyDescent="0.35">
      <c r="B19" t="s">
        <v>12</v>
      </c>
      <c r="C19" s="38" t="s">
        <v>129</v>
      </c>
      <c r="D19" s="38" t="s">
        <v>130</v>
      </c>
      <c r="E19" s="38" t="s">
        <v>131</v>
      </c>
      <c r="F19" s="38" t="s">
        <v>132</v>
      </c>
      <c r="G19" s="38" t="s">
        <v>133</v>
      </c>
    </row>
    <row r="20" spans="2:7" x14ac:dyDescent="0.35">
      <c r="B20" t="s">
        <v>13</v>
      </c>
      <c r="C20" s="38" t="s">
        <v>134</v>
      </c>
      <c r="D20" s="38" t="s">
        <v>135</v>
      </c>
      <c r="E20" s="38" t="s">
        <v>136</v>
      </c>
      <c r="F20" s="38" t="s">
        <v>137</v>
      </c>
      <c r="G20" s="38" t="s">
        <v>138</v>
      </c>
    </row>
    <row r="21" spans="2:7" x14ac:dyDescent="0.35">
      <c r="B21" t="s">
        <v>14</v>
      </c>
      <c r="C21" s="38" t="s">
        <v>139</v>
      </c>
      <c r="D21" s="38" t="s">
        <v>140</v>
      </c>
      <c r="E21" s="38" t="s">
        <v>141</v>
      </c>
      <c r="F21" s="38" t="s">
        <v>142</v>
      </c>
      <c r="G21" s="38" t="s">
        <v>143</v>
      </c>
    </row>
    <row r="22" spans="2:7" x14ac:dyDescent="0.35">
      <c r="B22" t="s">
        <v>15</v>
      </c>
      <c r="C22" s="38" t="s">
        <v>144</v>
      </c>
      <c r="D22" s="38" t="s">
        <v>145</v>
      </c>
      <c r="E22" s="38" t="s">
        <v>146</v>
      </c>
      <c r="F22" s="38" t="s">
        <v>147</v>
      </c>
      <c r="G22" s="38" t="s">
        <v>148</v>
      </c>
    </row>
    <row r="23" spans="2:7" x14ac:dyDescent="0.35">
      <c r="B23" t="s">
        <v>16</v>
      </c>
      <c r="C23" s="38" t="s">
        <v>85</v>
      </c>
      <c r="D23" s="38" t="s">
        <v>149</v>
      </c>
      <c r="E23" s="38" t="s">
        <v>150</v>
      </c>
      <c r="F23" s="38" t="s">
        <v>151</v>
      </c>
      <c r="G23" s="38" t="s">
        <v>152</v>
      </c>
    </row>
    <row r="25" spans="2:7" x14ac:dyDescent="0.35">
      <c r="B25" t="s">
        <v>17</v>
      </c>
    </row>
    <row r="26" spans="2:7" x14ac:dyDescent="0.35">
      <c r="B26" t="s">
        <v>18</v>
      </c>
      <c r="C26" s="38" t="s">
        <v>153</v>
      </c>
      <c r="D26" s="38" t="s">
        <v>154</v>
      </c>
      <c r="E26" s="38" t="s">
        <v>155</v>
      </c>
      <c r="F26" s="38" t="s">
        <v>156</v>
      </c>
      <c r="G26" s="38" t="s">
        <v>157</v>
      </c>
    </row>
    <row r="27" spans="2:7" x14ac:dyDescent="0.35">
      <c r="B27" t="s">
        <v>19</v>
      </c>
      <c r="C27" s="38" t="s">
        <v>144</v>
      </c>
      <c r="D27" s="38" t="s">
        <v>158</v>
      </c>
      <c r="E27" s="38" t="s">
        <v>95</v>
      </c>
      <c r="F27" s="38" t="s">
        <v>105</v>
      </c>
      <c r="G27" s="38" t="s">
        <v>159</v>
      </c>
    </row>
    <row r="28" spans="2:7" x14ac:dyDescent="0.35">
      <c r="B28" t="s">
        <v>20</v>
      </c>
      <c r="C28" s="38" t="s">
        <v>160</v>
      </c>
      <c r="D28" s="38" t="s">
        <v>161</v>
      </c>
      <c r="E28" s="38" t="s">
        <v>162</v>
      </c>
      <c r="F28" s="38" t="s">
        <v>163</v>
      </c>
      <c r="G28" s="38" t="s">
        <v>164</v>
      </c>
    </row>
    <row r="29" spans="2:7" x14ac:dyDescent="0.35">
      <c r="B29" t="s">
        <v>21</v>
      </c>
      <c r="C29" s="38" t="s">
        <v>134</v>
      </c>
      <c r="D29" s="38" t="s">
        <v>134</v>
      </c>
      <c r="E29" s="38" t="s">
        <v>134</v>
      </c>
      <c r="F29" s="38" t="s">
        <v>134</v>
      </c>
      <c r="G29" s="38" t="s">
        <v>134</v>
      </c>
    </row>
    <row r="30" spans="2:7" x14ac:dyDescent="0.35">
      <c r="B30" t="s">
        <v>22</v>
      </c>
      <c r="C30" s="38" t="s">
        <v>165</v>
      </c>
      <c r="D30" s="38" t="s">
        <v>166</v>
      </c>
      <c r="E30" s="38" t="s">
        <v>167</v>
      </c>
      <c r="F30" s="38" t="s">
        <v>168</v>
      </c>
      <c r="G30" s="38" t="s">
        <v>169</v>
      </c>
    </row>
    <row r="31" spans="2:7" x14ac:dyDescent="0.35">
      <c r="B31" t="s">
        <v>23</v>
      </c>
      <c r="C31" s="38" t="s">
        <v>170</v>
      </c>
      <c r="D31" s="38" t="s">
        <v>171</v>
      </c>
      <c r="E31" s="38" t="s">
        <v>172</v>
      </c>
      <c r="F31" s="38" t="s">
        <v>173</v>
      </c>
      <c r="G31" s="38" t="s">
        <v>174</v>
      </c>
    </row>
    <row r="32" spans="2:7" x14ac:dyDescent="0.35">
      <c r="B32" t="s">
        <v>24</v>
      </c>
      <c r="C32" s="38" t="s">
        <v>85</v>
      </c>
      <c r="D32" s="38" t="s">
        <v>149</v>
      </c>
      <c r="E32" s="38" t="s">
        <v>150</v>
      </c>
      <c r="F32" s="38" t="s">
        <v>151</v>
      </c>
      <c r="G32" s="38" t="s">
        <v>152</v>
      </c>
    </row>
    <row r="33" spans="2:7" x14ac:dyDescent="0.35">
      <c r="B33" t="s">
        <v>74</v>
      </c>
      <c r="C33" s="38" t="s">
        <v>175</v>
      </c>
      <c r="D33" s="38" t="s">
        <v>175</v>
      </c>
      <c r="E33" s="38" t="s">
        <v>175</v>
      </c>
      <c r="F33" s="38" t="s">
        <v>175</v>
      </c>
      <c r="G33" s="38" t="s">
        <v>175</v>
      </c>
    </row>
    <row r="35" spans="2:7" x14ac:dyDescent="0.35">
      <c r="B35" t="s">
        <v>0</v>
      </c>
      <c r="C35" s="38">
        <v>2022</v>
      </c>
      <c r="D35" s="38">
        <v>2023</v>
      </c>
      <c r="E35" s="38">
        <v>2024</v>
      </c>
      <c r="F35" s="38">
        <v>2025</v>
      </c>
    </row>
    <row r="36" spans="2:7" x14ac:dyDescent="0.35">
      <c r="B36" t="s">
        <v>26</v>
      </c>
      <c r="C36" s="38" t="s">
        <v>125</v>
      </c>
      <c r="D36" s="38" t="s">
        <v>126</v>
      </c>
      <c r="E36" s="38" t="s">
        <v>127</v>
      </c>
      <c r="F36" s="38" t="s">
        <v>128</v>
      </c>
    </row>
    <row r="37" spans="2:7" x14ac:dyDescent="0.35">
      <c r="B37" t="s">
        <v>27</v>
      </c>
      <c r="C37" s="38" t="s">
        <v>153</v>
      </c>
      <c r="D37" s="38" t="s">
        <v>176</v>
      </c>
      <c r="E37" s="38" t="s">
        <v>177</v>
      </c>
      <c r="F37" s="38" t="s">
        <v>178</v>
      </c>
    </row>
    <row r="38" spans="2:7" x14ac:dyDescent="0.35">
      <c r="B38" t="s">
        <v>179</v>
      </c>
      <c r="C38" s="38" t="s">
        <v>111</v>
      </c>
      <c r="D38" s="38" t="s">
        <v>111</v>
      </c>
      <c r="E38" s="38" t="s">
        <v>111</v>
      </c>
      <c r="F38" s="38" t="s">
        <v>111</v>
      </c>
    </row>
    <row r="39" spans="2:7" x14ac:dyDescent="0.35">
      <c r="B39" t="s">
        <v>28</v>
      </c>
      <c r="C39" s="38" t="s">
        <v>180</v>
      </c>
      <c r="D39" s="38" t="s">
        <v>181</v>
      </c>
      <c r="E39" s="38" t="s">
        <v>182</v>
      </c>
      <c r="F39" s="38">
        <v>-0.4</v>
      </c>
    </row>
    <row r="40" spans="2:7" x14ac:dyDescent="0.35">
      <c r="B40" t="s">
        <v>183</v>
      </c>
      <c r="C40" s="38" t="s">
        <v>184</v>
      </c>
      <c r="D40" s="38" t="s">
        <v>185</v>
      </c>
      <c r="E40" s="38" t="s">
        <v>186</v>
      </c>
      <c r="F40" s="38" t="s">
        <v>186</v>
      </c>
    </row>
    <row r="41" spans="2:7" x14ac:dyDescent="0.35">
      <c r="B41" t="s">
        <v>187</v>
      </c>
      <c r="C41" s="38" t="s">
        <v>130</v>
      </c>
      <c r="D41" s="38" t="s">
        <v>188</v>
      </c>
      <c r="E41" s="38" t="s">
        <v>189</v>
      </c>
      <c r="F41" s="38" t="s">
        <v>190</v>
      </c>
    </row>
    <row r="42" spans="2:7" x14ac:dyDescent="0.35">
      <c r="B42" t="s">
        <v>29</v>
      </c>
      <c r="C42" s="38" t="s">
        <v>191</v>
      </c>
      <c r="D42" s="38" t="s">
        <v>191</v>
      </c>
      <c r="E42" s="38" t="s">
        <v>191</v>
      </c>
      <c r="F42" s="38" t="s">
        <v>191</v>
      </c>
    </row>
    <row r="43" spans="2:7" x14ac:dyDescent="0.35">
      <c r="B43" t="s">
        <v>192</v>
      </c>
      <c r="C43" s="38" t="s">
        <v>191</v>
      </c>
      <c r="D43" s="38" t="s">
        <v>191</v>
      </c>
      <c r="E43" s="38" t="s">
        <v>191</v>
      </c>
      <c r="F43" s="38" t="s">
        <v>191</v>
      </c>
    </row>
    <row r="44" spans="2:7" x14ac:dyDescent="0.35">
      <c r="B44" t="s">
        <v>30</v>
      </c>
      <c r="C44" s="38" t="s">
        <v>100</v>
      </c>
      <c r="D44" s="38" t="s">
        <v>100</v>
      </c>
      <c r="E44" s="38" t="s">
        <v>100</v>
      </c>
      <c r="F44" s="38" t="s">
        <v>100</v>
      </c>
    </row>
    <row r="45" spans="2:7" x14ac:dyDescent="0.35">
      <c r="B45" t="s">
        <v>193</v>
      </c>
      <c r="C45" s="38" t="s">
        <v>100</v>
      </c>
      <c r="D45" s="38" t="s">
        <v>100</v>
      </c>
      <c r="E45" s="38" t="s">
        <v>100</v>
      </c>
      <c r="F45" s="38" t="s">
        <v>100</v>
      </c>
    </row>
    <row r="46" spans="2:7" x14ac:dyDescent="0.35">
      <c r="B46" t="s">
        <v>31</v>
      </c>
      <c r="C46" s="38" t="s">
        <v>194</v>
      </c>
      <c r="D46" s="38" t="s">
        <v>195</v>
      </c>
      <c r="E46" s="38" t="s">
        <v>196</v>
      </c>
      <c r="F46" s="38" t="s">
        <v>197</v>
      </c>
    </row>
    <row r="47" spans="2:7" x14ac:dyDescent="0.35">
      <c r="B47" t="s">
        <v>32</v>
      </c>
      <c r="C47" s="38" t="s">
        <v>129</v>
      </c>
      <c r="D47" s="38" t="s">
        <v>130</v>
      </c>
      <c r="E47" s="38" t="s">
        <v>131</v>
      </c>
      <c r="F47" s="38" t="s">
        <v>132</v>
      </c>
    </row>
    <row r="48" spans="2:7" x14ac:dyDescent="0.35">
      <c r="B48" t="s">
        <v>33</v>
      </c>
      <c r="C48" s="38" t="s">
        <v>130</v>
      </c>
      <c r="D48" s="38" t="s">
        <v>131</v>
      </c>
      <c r="E48" s="38" t="s">
        <v>132</v>
      </c>
      <c r="F48" s="38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Info_schedule</vt:lpstr>
      <vt:lpstr>3_Statements_Model</vt:lpstr>
      <vt:lpstr>DCF_Model</vt:lpstr>
      <vt:lpstr>Assumptions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Lattuada</dc:creator>
  <cp:lastModifiedBy>Bryan Josue Lattuada</cp:lastModifiedBy>
  <dcterms:created xsi:type="dcterms:W3CDTF">2015-06-05T18:17:20Z</dcterms:created>
  <dcterms:modified xsi:type="dcterms:W3CDTF">2026-05-17T15:33:15Z</dcterms:modified>
</cp:coreProperties>
</file>